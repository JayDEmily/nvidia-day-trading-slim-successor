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Scenario_Packs" sheetId="3" state="visible" r:id="rId3"/>
    <sheet xmlns:r="http://schemas.openxmlformats.org/officeDocument/2006/relationships" name="Raw_Catalog" sheetId="4" state="visible" r:id="rId4"/>
    <sheet xmlns:r="http://schemas.openxmlformats.org/officeDocument/2006/relationships" name="Anchor_Data" sheetId="5" state="visible" r:id="rId5"/>
    <sheet xmlns:r="http://schemas.openxmlformats.org/officeDocument/2006/relationships" name="Live_Web_Baseline" sheetId="6" state="visible" r:id="rId6"/>
    <sheet xmlns:r="http://schemas.openxmlformats.org/officeDocument/2006/relationships" name="Synthetic_Raw" sheetId="7" state="visible" r:id="rId7"/>
    <sheet xmlns:r="http://schemas.openxmlformats.org/officeDocument/2006/relationships" name="Derived_Beta_Leadership" sheetId="8" state="visible" r:id="rId8"/>
    <sheet xmlns:r="http://schemas.openxmlformats.org/officeDocument/2006/relationships" name="Derived_Vol_Rates_FX" sheetId="9" state="visible" r:id="rId9"/>
    <sheet xmlns:r="http://schemas.openxmlformats.org/officeDocument/2006/relationships" name="Derived_Execution_Options" sheetId="10" state="visible" r:id="rId10"/>
    <sheet xmlns:r="http://schemas.openxmlformats.org/officeDocument/2006/relationships" name="Derived_Asia_Breadth" sheetId="11" state="visible" r:id="rId11"/>
    <sheet xmlns:r="http://schemas.openxmlformats.org/officeDocument/2006/relationships" name="Test_Use_Cases" sheetId="12" state="visible" r:id="rId12"/>
    <sheet xmlns:r="http://schemas.openxmlformats.org/officeDocument/2006/relationships" name="Temporal_Step1_Framework" sheetId="13" state="visible" r:id="rId13"/>
    <sheet xmlns:r="http://schemas.openxmlformats.org/officeDocument/2006/relationships" name="Temporal_Step1_Tests" sheetId="14" state="visible" r:id="rId14"/>
    <sheet xmlns:r="http://schemas.openxmlformats.org/officeDocument/2006/relationships" name="Raw_Primitives_Catalog" sheetId="15" state="visible" r:id="rId15"/>
    <sheet xmlns:r="http://schemas.openxmlformats.org/officeDocument/2006/relationships" name="Derived_Features_Catalog" sheetId="16" state="visible" r:id="rId16"/>
    <sheet xmlns:r="http://schemas.openxmlformats.org/officeDocument/2006/relationships" name="Options_Chain_Raw_Spec" sheetId="17" state="visible" r:id="rId17"/>
    <sheet xmlns:r="http://schemas.openxmlformats.org/officeDocument/2006/relationships" name="Volume_Baseline_Raw_Spec" sheetId="18" state="visible" r:id="rId18"/>
    <sheet xmlns:r="http://schemas.openxmlformats.org/officeDocument/2006/relationships" name="Playbook_Module_Audit" sheetId="19" state="visible" r:id="rId19"/>
    <sheet xmlns:r="http://schemas.openxmlformats.org/officeDocument/2006/relationships" name="Gate_41_44_Summary" sheetId="20" state="visible" r:id="rId20"/>
  </sheets>
  <definedNames/>
</workbook>
</file>

<file path=xl/styles.xml><?xml version="1.0" encoding="utf-8"?>
<styleSheet xmlns="http://schemas.openxmlformats.org/spreadsheetml/2006/main">
  <numFmts count="5">
    <numFmt numFmtId="164" formatCode="mmm yyyy"/>
    <numFmt numFmtId="165" formatCode="0.0"/>
    <numFmt numFmtId="166" formatCode="0.0%"/>
    <numFmt numFmtId="167" formatCode="yyyy-mm-dd hh:mm:ss"/>
    <numFmt numFmtId="168" formatCode="yyyy-mm-dd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000000"/>
    </font>
    <font>
      <color rgb="00666666"/>
    </font>
    <font>
      <i val="1"/>
      <color rgb="00C55A11"/>
    </font>
    <font>
      <i val="1"/>
      <color rgb="00666666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F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3" borderId="0" pivotButton="0" quotePrefix="0" xfId="0"/>
    <xf numFmtId="164" fontId="3" fillId="3" borderId="0" pivotButton="0" quotePrefix="0" xfId="0"/>
    <xf numFmtId="0" fontId="0" fillId="5" borderId="0" applyAlignment="1" pivotButton="0" quotePrefix="0" xfId="0">
      <alignment wrapText="1"/>
    </xf>
    <xf numFmtId="164" fontId="3" fillId="3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2" fontId="3" fillId="0" borderId="0" pivotButton="0" quotePrefix="0" xfId="0"/>
    <xf numFmtId="0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0" fillId="6" borderId="0" pivotButton="0" quotePrefix="0" xfId="0"/>
    <xf numFmtId="166" fontId="0" fillId="6" borderId="0" applyAlignment="1" pivotButton="0" quotePrefix="0" xfId="0">
      <alignment vertical="center"/>
    </xf>
    <xf numFmtId="165" fontId="0" fillId="0" borderId="0" pivotButton="0" quotePrefix="0" xfId="0"/>
    <xf numFmtId="1" fontId="0" fillId="0" borderId="0" pivotButton="0" quotePrefix="0" xfId="0"/>
    <xf numFmtId="2" fontId="0" fillId="6" borderId="0" pivotButton="0" quotePrefix="0" xfId="0"/>
    <xf numFmtId="2" fontId="0" fillId="6" borderId="0" applyAlignment="1" pivotButton="0" quotePrefix="0" xfId="0">
      <alignment vertical="center"/>
    </xf>
    <xf numFmtId="164" fontId="3" fillId="3" borderId="0" pivotButton="0" quotePrefix="0" xfId="0"/>
    <xf numFmtId="164" fontId="3" fillId="3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0" fillId="0" borderId="0" pivotButton="0" quotePrefix="0" xfId="0"/>
    <xf numFmtId="166" fontId="0" fillId="0" borderId="0" pivotButton="0" quotePrefix="0" xfId="0"/>
    <xf numFmtId="166" fontId="0" fillId="6" borderId="0" pivotButton="0" quotePrefix="0" xfId="0"/>
    <xf numFmtId="166" fontId="0" fillId="6" borderId="0" applyAlignment="1" pivotButton="0" quotePrefix="0" xfId="0">
      <alignment vertical="center"/>
    </xf>
    <xf numFmtId="165" fontId="0" fillId="0" borderId="0" pivotButton="0" quotePrefix="0" xfId="0"/>
    <xf numFmtId="164" fontId="3" fillId="7" borderId="0" applyAlignment="1" pivotButton="0" quotePrefix="0" xfId="0">
      <alignment vertical="center"/>
    </xf>
    <xf numFmtId="165" fontId="3" fillId="7" borderId="0" applyAlignment="1" pivotButton="0" quotePrefix="0" xfId="0">
      <alignment vertical="center"/>
    </xf>
    <xf numFmtId="1" fontId="3" fillId="7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166" fontId="3" fillId="7" borderId="0" applyAlignment="1" pivotButton="0" quotePrefix="0" xfId="0">
      <alignment vertical="center"/>
    </xf>
    <xf numFmtId="2" fontId="3" fillId="7" borderId="0" applyAlignment="1" pivotButton="0" quotePrefix="0" xfId="0">
      <alignment vertical="center"/>
    </xf>
    <xf numFmtId="0" fontId="1" fillId="2" borderId="0" pivotButton="0" quotePrefix="0" xfId="0"/>
    <xf numFmtId="0" fontId="7" fillId="0" borderId="0" pivotButton="0" quotePrefix="0" xfId="0"/>
    <xf numFmtId="0" fontId="2" fillId="7" borderId="0" pivotButton="0" quotePrefix="0" xfId="0"/>
    <xf numFmtId="0" fontId="5" fillId="0" borderId="0" applyAlignment="1" pivotButton="0" quotePrefix="0" xfId="0">
      <alignment wrapText="1"/>
    </xf>
    <xf numFmtId="2" fontId="3" fillId="3" borderId="0" applyAlignment="1" pivotButton="0" quotePrefix="0" xfId="0">
      <alignment vertical="center"/>
    </xf>
    <xf numFmtId="1" fontId="3" fillId="3" borderId="0" applyAlignment="1" pivotButton="0" quotePrefix="0" xfId="0">
      <alignment vertical="center"/>
    </xf>
    <xf numFmtId="167" fontId="5" fillId="0" borderId="0" applyAlignment="1" pivotButton="0" quotePrefix="0" xfId="0">
      <alignment vertical="top" wrapText="1"/>
    </xf>
    <xf numFmtId="168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Synthetic example workbook. Replace Anchor_Data with real coarse anchors later if desired.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6" authorId="0" shapeId="0">
      <text>
        <t>Scenario selector. Use 1 Baseline, 2 Stress, 3 Squeeze.</t>
      </text>
    </comment>
    <comment ref="B7" authorId="0" shapeId="0">
      <text>
        <t>Placeholder for future randomised generator; current workbook keeps deterministic shifts for repeatable regression tests.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Extended on 2026-03-25 to add a dedicated Temporal Step1 raw signal family for the 'where are we now?' problem.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B2" authorId="0" shapeId="0">
      <text>
        <t>Synthetic example only.
Suggested anchor sources if replaced later:
https://fred.stlouisfed.org
https://www.cboe.com/tradable-products/vix/vix-historical-data/</t>
      </text>
    </comment>
    <comment ref="M4" authorId="0" shapeId="0">
      <text>
        <t>VIX/VVIX/VIX9D/SKEW can be anchored later from Cboe historical datasets.</t>
      </text>
    </comment>
    <comment ref="Q4" authorId="0" shapeId="0">
      <text>
        <t>Rates can be anchored later from FRED (e.g., DGS10, DGS2).</t>
      </text>
    </comment>
    <comment ref="B7" authorId="0" shapeId="0">
      <text>
        <t>https://www.macrotrends.net/stocks/charts/NVDA/nvidia/stock-price-history/1000
Latest close as of 2026-03-11.</t>
      </text>
    </comment>
    <comment ref="C7" authorId="0" shapeId="0">
      <text>
        <t>https://www.macrotrends.net/stocks/charts/NVDA/nvidia/stock-price-history/1000
2026 YTD high as of 2026-03-11.</t>
      </text>
    </comment>
    <comment ref="D7" authorId="0" shapeId="0">
      <text>
        <t>https://www.macrotrends.net/stocks/charts/NVDA/nvidia/stock-price-history/1000
2026 YTD low as of 2026-03-11.</t>
      </text>
    </comment>
    <comment ref="E7" authorId="0" shapeId="0">
      <text>
        <t>Synthetic placeholder volume; public volume baseline not loaded in this pass.</t>
      </text>
    </comment>
    <comment ref="F7" authorId="0" shapeId="0">
      <text>
        <t>https://fred.stlouisfed.org/series/SP500
S&amp;P 500 used as ES proxy on 2026-03-20.</t>
      </text>
    </comment>
    <comment ref="G7" authorId="0" shapeId="0">
      <text>
        <t>https://fred.stlouisfed.org/series/NASDAQ100
NASDAQ-100 used as NQ proxy on 2026-03-20.</t>
      </text>
    </comment>
    <comment ref="H7" authorId="0" shapeId="0">
      <text>
        <t>https://stockanalysis.com/etf/xlk/history/
XLK close on 2026-03-11.</t>
      </text>
    </comment>
    <comment ref="I7" authorId="0" shapeId="0">
      <text>
        <t>https://ph.investing.com/indices/phlx-semiconductor-historical-data
SOX close on 2026-03-11.</t>
      </text>
    </comment>
    <comment ref="J7" authorId="0" shapeId="0">
      <text>
        <t>https://tradingeconomics.com/japan/stock-market/news/524510
Nikkei close on 2026-03-12.</t>
      </text>
    </comment>
    <comment ref="K7" authorId="0" shapeId="0">
      <text>
        <t>https://www.china.org.cn/china/Off_the_Wire/2026-03/05/content_118363763.shtml
Hang Seng close on 2026-03-05.</t>
      </text>
    </comment>
    <comment ref="L7" authorId="0" shapeId="0">
      <text>
        <t>https://www.china.org.cn/china/Off_the_Wire/2026-03/05/content_118363763.shtml
Hang Seng Tech close on 2026-03-05.</t>
      </text>
    </comment>
    <comment ref="M7" authorId="0" shapeId="0">
      <text>
        <t>https://www.cboe.com/tradable-products/vix
VIX prev close on 2026-03-18.</t>
      </text>
    </comment>
    <comment ref="N7" authorId="0" shapeId="0">
      <text>
        <t>https://finance.yahoo.com/quote/%5EVVIX/
VVIX delayed quote close on 2026-03-06.</t>
      </text>
    </comment>
    <comment ref="O7" authorId="0" shapeId="0">
      <text>
        <t>https://www.investing.com/indices/s-p-500-9day-volatility-historical-data
VIX9D close on 2026-03-11.</t>
      </text>
    </comment>
    <comment ref="P7" authorId="0" shapeId="0">
      <text>
        <t>https://ycharts.com/indicators/skew_index
SKEW close on 2026-03-11.</t>
      </text>
    </comment>
    <comment ref="Q7" authorId="0" shapeId="0">
      <text>
        <t>https://fred.stlouisfed.org/series/DGS10
10Y yield on 2026-03-19 converted to bp.</t>
      </text>
    </comment>
    <comment ref="R7" authorId="0" shapeId="0">
      <text>
        <t>https://fred.stlouisfed.org/series/DGS2
2Y yield on 2026-03-19 converted to bp.</t>
      </text>
    </comment>
    <comment ref="S7" authorId="0" shapeId="0">
      <text>
        <t>https://fred.stlouisfed.org/series/DEXJPUS
USDJPY on 2026-03-13.</t>
      </text>
    </comment>
    <comment ref="T7" authorId="0" shapeId="0">
      <text>
        <t>Synthetic placeholder retained in this pass; no live public baseline loaded for this field.</t>
      </text>
    </comment>
    <comment ref="U7" authorId="0" shapeId="0">
      <text>
        <t>Synthetic placeholder retained in this pass; no live public baseline loaded for this field.</t>
      </text>
    </comment>
    <comment ref="V7" authorId="0" shapeId="0">
      <text>
        <t>Synthetic placeholder retained in this pass; no live public baseline loaded for this field.</t>
      </text>
    </comment>
    <comment ref="W7" authorId="0" shapeId="0">
      <text>
        <t>Synthetic placeholder retained in this pass; no live public baseline loaded for this field.</t>
      </text>
    </comment>
    <comment ref="X7" authorId="0" shapeId="0">
      <text>
        <t>Synthetic placeholder retained in this pass; no live public baseline loaded for this field.</t>
      </text>
    </comment>
    <comment ref="Y7" authorId="0" shapeId="0">
      <text>
        <t>Synthetic placeholder retained in this pass; no live public baseline loaded for this field.</t>
      </text>
    </comment>
    <comment ref="Z7" authorId="0" shapeId="0">
      <text>
        <t>Synthetic placeholder retained in this pass; no live public baseline loaded for this field.</t>
      </text>
    </comment>
    <comment ref="AA7" authorId="0" shapeId="0">
      <text>
        <t>Synthetic placeholder retained in this pass; no live public baseline loaded for this field.</t>
      </text>
    </comment>
    <comment ref="AB7" authorId="0" shapeId="0">
      <text>
        <t>Synthetic placeholder retained in this pass; no live public baseline loaded for this field.</t>
      </text>
    </comment>
    <comment ref="AC7" authorId="0" shapeId="0">
      <text>
        <t>Synthetic placeholder retained in this pass; no live public baseline loaded for this field.</t>
      </text>
    </comment>
    <comment ref="AD7" authorId="0" shapeId="0">
      <text>
        <t>Synthetic placeholder retained in this pass; no live public baseline loaded for this field.</t>
      </text>
    </comment>
    <comment ref="AE7" authorId="0" shapeId="0">
      <text>
        <t>Synthetic placeholder retained in this pass; no live public baseline loaded for this field.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B2" authorId="0" shapeId="0">
      <text>
        <t>Formula-driven scenario layer. Useful for regression tests before building a full stochastic generator.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J3" authorId="0" shapeId="0">
      <text>
        <t>Squeeze_Proxy is a simple test harness composite, not a production signal.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H4" authorId="0" shapeId="0">
      <text>
        <t>Signals motivated by market microstructure evidence on strong open/close volume and spread concentration, plus practical VWAP/volume-seasonality execution logic. Sources used in accompanying note / final response: NYSE auction timelines; SSRN/NASDAQ intraday U-shape paper; VWAP volume-model paper.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6" customWidth="1" min="4" max="4"/>
    <col width="32" customWidth="1" min="5" max="5"/>
  </cols>
  <sheetData>
    <row r="1">
      <c r="A1" s="1" t="inlineStr">
        <is>
          <t>NVDA Signal Workbook v3</t>
        </is>
      </c>
    </row>
    <row r="3" ht="24" customHeight="1">
      <c r="A3" s="2" t="inlineStr">
        <is>
          <t>Purpose</t>
        </is>
      </c>
      <c r="B3" s="3" t="inlineStr">
        <is>
          <t>Workbook to organise raw inputs, scenario controls, synthetic raw paths, and derived state layers for testing the NVDA desk framework.</t>
        </is>
      </c>
      <c r="D3" s="2" t="inlineStr">
        <is>
          <t>Legend</t>
        </is>
      </c>
    </row>
    <row r="4" ht="24" customHeight="1">
      <c r="A4" s="2" t="inlineStr">
        <is>
          <t>Scope</t>
        </is>
      </c>
      <c r="B4" s="3" t="inlineStr">
        <is>
          <t>Workbook now separates raw primitives from derived features, preserves explicit options-chain raw capture policy, and records Gate 41-44 playbook/module audit outcomes.</t>
        </is>
      </c>
      <c r="D4" t="inlineStr">
        <is>
          <t>Blue text</t>
        </is>
      </c>
      <c r="E4" t="inlineStr">
        <is>
          <t>User input / scenario control</t>
        </is>
      </c>
    </row>
    <row r="5" ht="24" customHeight="1">
      <c r="A5" s="4" t="inlineStr">
        <is>
          <t>Workflow</t>
        </is>
      </c>
      <c r="B5" s="3" t="inlineStr">
        <is>
          <t>1) Adjust Controls / Scenario. 2) Review Synthetic_Raw. 3) Inspect derived tabs. 4) Use scenario packs for replay / regression tests.</t>
        </is>
      </c>
      <c r="D5" s="5" t="inlineStr">
        <is>
          <t>Black text</t>
        </is>
      </c>
      <c r="E5" s="5" t="inlineStr">
        <is>
          <t>Formula or calculated output</t>
        </is>
      </c>
    </row>
    <row r="6" ht="24" customHeight="1">
      <c r="A6" s="4" t="inlineStr">
        <is>
          <t>Data philosophy</t>
        </is>
      </c>
      <c r="B6" s="3" t="inlineStr">
        <is>
          <t>1) Review Live_Web_Baseline. 2) Check web-seeded Anchor_Data. 3) Adjust Controls / Scenario. 4) Inspect Synthetic_Raw and derived tabs.</t>
        </is>
      </c>
      <c r="D6" s="5" t="inlineStr">
        <is>
          <t>Gray text</t>
        </is>
      </c>
      <c r="E6" s="5" t="inlineStr">
        <is>
          <t>Static note / taxonomy</t>
        </is>
      </c>
    </row>
    <row r="7" ht="24" customHeight="1">
      <c r="B7" t="inlineStr">
        <is>
          <t>Live web snapshot for ballpark baseline + synthetic regime-conditioned expansion. Raw first, derived second.</t>
        </is>
      </c>
      <c r="D7" s="5" t="inlineStr">
        <is>
          <t>Orange fill</t>
        </is>
      </c>
      <c r="E7" s="5" t="inlineStr">
        <is>
          <t>Review / caution</t>
        </is>
      </c>
    </row>
    <row r="8" ht="24" customHeight="1">
      <c r="A8" s="4" t="inlineStr">
        <is>
          <t>Core sheet order</t>
        </is>
      </c>
      <c r="D8" s="5" t="inlineStr">
        <is>
          <t>Teal fill</t>
        </is>
      </c>
      <c r="E8" s="5" t="inlineStr">
        <is>
          <t>Key KPI / scenario driver</t>
        </is>
      </c>
    </row>
    <row r="9" ht="24" customHeight="1">
      <c r="A9" s="5" t="n">
        <v>1</v>
      </c>
      <c r="B9" s="5" t="inlineStr">
        <is>
          <t>Controls</t>
        </is>
      </c>
    </row>
    <row r="10" ht="24" customHeight="1">
      <c r="A10" s="5" t="n">
        <v>2</v>
      </c>
      <c r="B10" s="5" t="inlineStr">
        <is>
          <t>Scenario_Packs</t>
        </is>
      </c>
      <c r="D10" t="inlineStr">
        <is>
          <t>Added</t>
        </is>
      </c>
      <c r="E10" t="inlineStr">
        <is>
          <t>Temporal Step1 sheets separate clock/calendar, primitive intraday observables, and a 30-second test harness.</t>
        </is>
      </c>
    </row>
    <row r="11" ht="24" customHeight="1">
      <c r="A11" s="5" t="n">
        <v>3</v>
      </c>
      <c r="B11" s="5" t="inlineStr">
        <is>
          <t>Raw_Catalog</t>
        </is>
      </c>
      <c r="D11" t="inlineStr">
        <is>
          <t>Design rule</t>
        </is>
      </c>
      <c r="E11" t="inlineStr">
        <is>
          <t>Step 1 may reuse primitives later, but may not consume Step 2/3 derived outputs.</t>
        </is>
      </c>
    </row>
    <row r="12" ht="24" customHeight="1">
      <c r="A12" s="5" t="n">
        <v>4</v>
      </c>
      <c r="B12" s="5" t="inlineStr">
        <is>
          <t>Anchor_Data</t>
        </is>
      </c>
    </row>
    <row r="13" ht="24" customHeight="1">
      <c r="A13" s="5" t="n">
        <v>5</v>
      </c>
      <c r="B13" s="5" t="inlineStr">
        <is>
          <t>Synthetic_Raw</t>
        </is>
      </c>
    </row>
    <row r="14" ht="24" customHeight="1">
      <c r="A14" s="5" t="n">
        <v>6</v>
      </c>
      <c r="B14" s="5" t="inlineStr">
        <is>
          <t>Derived_Beta_Leadership</t>
        </is>
      </c>
    </row>
    <row r="15" ht="24" customHeight="1">
      <c r="A15" s="5" t="n">
        <v>7</v>
      </c>
      <c r="B15" s="5" t="inlineStr">
        <is>
          <t>Derived_Vol_Rates_FX</t>
        </is>
      </c>
    </row>
    <row r="16" ht="24" customHeight="1">
      <c r="A16" s="5" t="n">
        <v>8</v>
      </c>
      <c r="B16" s="5" t="inlineStr">
        <is>
          <t>Derived_Execution_Options</t>
        </is>
      </c>
    </row>
    <row r="17">
      <c r="A17" s="5" t="n">
        <v>9</v>
      </c>
      <c r="B17" s="5" t="inlineStr">
        <is>
          <t>Derived_Asia_Breadth</t>
        </is>
      </c>
    </row>
    <row r="18">
      <c r="A18" s="5" t="n">
        <v>10</v>
      </c>
      <c r="B18" s="5" t="inlineStr">
        <is>
          <t>Test_Use_Cases</t>
        </is>
      </c>
    </row>
    <row r="19">
      <c r="A19" s="5" t="n">
        <v>11</v>
      </c>
      <c r="B19" s="5" t="inlineStr">
        <is>
          <t>Temporal_Step1_Framework</t>
        </is>
      </c>
    </row>
    <row r="20">
      <c r="A20" s="5" t="n">
        <v>12</v>
      </c>
      <c r="B20" s="5" t="inlineStr">
        <is>
          <t>Temporal_Step1_Tests</t>
        </is>
      </c>
    </row>
    <row r="22">
      <c r="A22" t="inlineStr">
        <is>
          <t>2026-03-25 workbook update</t>
        </is>
      </c>
      <c r="B22" t="inlineStr">
        <is>
          <t>Raw vs derived split added; see Raw_Primitives_Catalog, Derived_Features_Catalog, Options_Chain_Raw_Spec, Volume_Baseline_Raw_Spec, and Playbook_Module_Audit.</t>
        </is>
      </c>
    </row>
    <row r="23">
      <c r="A23" t="inlineStr">
        <is>
          <t>Legacy sheet note</t>
        </is>
      </c>
      <c r="B23" t="inlineStr">
        <is>
          <t>Raw_Catalog is retained for continuity but is now a mixed legacy catalog; use the new split sheets as source of truth.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4" customWidth="1" min="4" max="4"/>
    <col width="10" customWidth="1" min="5" max="5"/>
    <col width="10" customWidth="1" min="6" max="6"/>
  </cols>
  <sheetData>
    <row r="1">
      <c r="A1" s="1" t="inlineStr">
        <is>
          <t>Controls &amp; Selected Scenario Parameters</t>
        </is>
      </c>
    </row>
    <row r="3">
      <c r="A3" s="2" t="inlineStr">
        <is>
          <t>Frequency</t>
        </is>
      </c>
      <c r="B3" s="6" t="inlineStr">
        <is>
          <t>Monthly</t>
        </is>
      </c>
      <c r="D3" t="inlineStr">
        <is>
          <t>Notes</t>
        </is>
      </c>
    </row>
    <row r="4">
      <c r="A4" s="2" t="inlineStr">
        <is>
          <t>Start date</t>
        </is>
      </c>
      <c r="B4" s="41" t="n">
        <v>46023</v>
      </c>
      <c r="D4" s="8" t="inlineStr">
        <is>
          <t>Set scenario ID to 1=Baseline, 2=Stress, 3=Squeeze.</t>
        </is>
      </c>
      <c r="E4" t="inlineStr">
        <is>
          <t>Web baseline snapshot is March 2026; anchor rows are scaled around that point.</t>
        </is>
      </c>
    </row>
    <row r="5">
      <c r="A5" s="4" t="inlineStr">
        <is>
          <t>End date</t>
        </is>
      </c>
      <c r="B5" s="42" t="n">
        <v>46357</v>
      </c>
      <c r="D5" s="8" t="inlineStr">
        <is>
          <t>Noise scale is a placeholder control for future generator logic.</t>
        </is>
      </c>
      <c r="E5" t="inlineStr">
        <is>
          <t>Fields without a clean public baseline feed remain synthetic placeholders.</t>
        </is>
      </c>
    </row>
    <row r="6">
      <c r="A6" s="4" t="inlineStr">
        <is>
          <t>Selected scenario ID</t>
        </is>
      </c>
      <c r="B6" s="10" t="n">
        <v>1</v>
      </c>
      <c r="D6" s="8" t="inlineStr">
        <is>
          <t>Current workbook uses deterministic shifts to keep tests reproducible.</t>
        </is>
      </c>
    </row>
    <row r="7">
      <c r="A7" s="4" t="inlineStr">
        <is>
          <t>Selected scenario name</t>
        </is>
      </c>
      <c r="B7" s="11">
        <f>INDEX(Scenario_Packs!$B$2:$B$4,$B$10)</f>
        <v/>
      </c>
    </row>
    <row r="8">
      <c r="A8" s="4" t="inlineStr">
        <is>
          <t>Noise scale</t>
        </is>
      </c>
      <c r="B8" s="12" t="n">
        <v>0.15</v>
      </c>
    </row>
    <row r="10">
      <c r="A10" s="4" t="inlineStr">
        <is>
          <t>Scenario row index</t>
        </is>
      </c>
      <c r="B10" s="13">
        <f>MATCH(B6,Scenario_Packs!$A$2:$A$4,0)</f>
        <v/>
      </c>
    </row>
    <row r="13">
      <c r="A13" s="1" t="inlineStr">
        <is>
          <t>Selected Scenario Parameters</t>
        </is>
      </c>
    </row>
    <row r="14">
      <c r="A14" s="14" t="inlineStr">
        <is>
          <t>NVDA price multiplier</t>
        </is>
      </c>
      <c r="B14" s="11">
        <f>INDEX(Scenario_Packs!$C$2:$C$4,$B$10)</f>
        <v/>
      </c>
    </row>
    <row r="15">
      <c r="A15" s="14" t="inlineStr">
        <is>
          <t>NVDA volume multiplier</t>
        </is>
      </c>
      <c r="B15" s="13">
        <f>INDEX(Scenario_Packs!$D$2:$D$4,$B$10)</f>
        <v/>
      </c>
    </row>
    <row r="16">
      <c r="A16" s="14" t="inlineStr">
        <is>
          <t>Beta tape multiplier</t>
        </is>
      </c>
      <c r="B16" s="11">
        <f>INDEX(Scenario_Packs!$E$2:$E$4,$B$10)</f>
        <v/>
      </c>
    </row>
    <row r="17">
      <c r="A17" s="14" t="inlineStr">
        <is>
          <t>Asia handoff multiplier</t>
        </is>
      </c>
      <c r="B17" s="13">
        <f>INDEX(Scenario_Packs!$F$2:$F$4,$B$10)</f>
        <v/>
      </c>
    </row>
    <row r="18">
      <c r="A18" s="14" t="inlineStr">
        <is>
          <t>VIX add</t>
        </is>
      </c>
      <c r="B18" s="11">
        <f>INDEX(Scenario_Packs!$G$2:$G$4,$B$10)</f>
        <v/>
      </c>
    </row>
    <row r="19">
      <c r="A19" s="14" t="inlineStr">
        <is>
          <t>VVIX add</t>
        </is>
      </c>
      <c r="B19" s="13">
        <f>INDEX(Scenario_Packs!$H$2:$H$4,$B$10)</f>
        <v/>
      </c>
    </row>
    <row r="20">
      <c r="A20" s="14" t="inlineStr">
        <is>
          <t>VIX9D add</t>
        </is>
      </c>
      <c r="B20" s="13">
        <f>INDEX(Scenario_Packs!$I$2:$I$4,$B$10)</f>
        <v/>
      </c>
    </row>
    <row r="21">
      <c r="A21" s="14" t="inlineStr">
        <is>
          <t>SKEW add</t>
        </is>
      </c>
      <c r="B21" s="13">
        <f>INDEX(Scenario_Packs!$J$2:$J$4,$B$10)</f>
        <v/>
      </c>
    </row>
    <row r="22">
      <c r="A22" s="14" t="inlineStr">
        <is>
          <t>US10Y add (bp)</t>
        </is>
      </c>
      <c r="B22" s="13">
        <f>INDEX(Scenario_Packs!$K$2:$K$4,$B$10)</f>
        <v/>
      </c>
    </row>
    <row r="23">
      <c r="A23" s="14" t="inlineStr">
        <is>
          <t>US2Y add (bp)</t>
        </is>
      </c>
      <c r="B23" s="13">
        <f>INDEX(Scenario_Packs!$L$2:$L$4,$B$10)</f>
        <v/>
      </c>
    </row>
    <row r="24">
      <c r="A24" s="14" t="inlineStr">
        <is>
          <t>USDJPY multiplier</t>
        </is>
      </c>
      <c r="B24" s="13">
        <f>INDEX(Scenario_Packs!$M$2:$M$4,$B$10)</f>
        <v/>
      </c>
    </row>
    <row r="25">
      <c r="A25" s="14" t="inlineStr">
        <is>
          <t>Breadth add</t>
        </is>
      </c>
      <c r="B25" s="11">
        <f>INDEX(Scenario_Packs!$N$2:$N$4,$B$10)</f>
        <v/>
      </c>
    </row>
    <row r="26">
      <c r="A26" s="14" t="inlineStr">
        <is>
          <t>Dealer gamma shift</t>
        </is>
      </c>
      <c r="B26" s="13">
        <f>INDEX(Scenario_Packs!$O$2:$O$4,$B$10)</f>
        <v/>
      </c>
    </row>
    <row r="27">
      <c r="A27" s="14" t="inlineStr">
        <is>
          <t>Gamma concentration add</t>
        </is>
      </c>
      <c r="B27" s="13">
        <f>INDEX(Scenario_Packs!$P$2:$P$4,$B$10)</f>
        <v/>
      </c>
    </row>
    <row r="28">
      <c r="A28" s="14" t="inlineStr">
        <is>
          <t>ATM IV add</t>
        </is>
      </c>
      <c r="B28" s="11">
        <f>INDEX(Scenario_Packs!$Q$2:$Q$4,$B$10)</f>
        <v/>
      </c>
    </row>
    <row r="29">
      <c r="A29" s="14" t="inlineStr">
        <is>
          <t>Term slope add</t>
        </is>
      </c>
      <c r="B29" s="13">
        <f>INDEX(Scenario_Packs!$R$2:$R$4,$B$10)</f>
        <v/>
      </c>
    </row>
    <row r="30">
      <c r="A30" s="14" t="inlineStr">
        <is>
          <t>Skew slope add</t>
        </is>
      </c>
      <c r="B30" s="13">
        <f>INDEX(Scenario_Packs!$S$2:$S$4,$B$10)</f>
        <v/>
      </c>
    </row>
    <row r="31">
      <c r="A31" s="14" t="inlineStr">
        <is>
          <t>Call/put imbalance add</t>
        </is>
      </c>
      <c r="B31" s="13">
        <f>INDEX(Scenario_Packs!$T$2:$T$4,$B$10)</f>
        <v/>
      </c>
    </row>
    <row r="32">
      <c r="A32" s="14" t="inlineStr">
        <is>
          <t>OI concentration add</t>
        </is>
      </c>
      <c r="B32" s="13">
        <f>INDEX(Scenario_Packs!$U$2:$U$4,$B$10)</f>
        <v/>
      </c>
    </row>
    <row r="33">
      <c r="A33" s="14" t="inlineStr">
        <is>
          <t>RV20d add</t>
        </is>
      </c>
      <c r="B33" s="13">
        <f>INDEX(Scenario_Packs!$V$2:$V$4,$B$10)</f>
        <v/>
      </c>
    </row>
  </sheetData>
  <mergeCells count="2">
    <mergeCell ref="A13:C13"/>
    <mergeCell ref="A1:F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Scenario Packs</t>
        </is>
      </c>
    </row>
    <row r="3">
      <c r="A3" s="15" t="inlineStr">
        <is>
          <t>Scenario_ID</t>
        </is>
      </c>
      <c r="B3" s="15" t="inlineStr">
        <is>
          <t>Scenario_Name</t>
        </is>
      </c>
      <c r="C3" s="15" t="inlineStr">
        <is>
          <t>NVDA_Price_Mult</t>
        </is>
      </c>
      <c r="D3" s="15" t="inlineStr">
        <is>
          <t>NVDA_Vol_Mult</t>
        </is>
      </c>
      <c r="E3" s="15" t="inlineStr">
        <is>
          <t>Beta_Mult</t>
        </is>
      </c>
      <c r="F3" s="15" t="inlineStr">
        <is>
          <t>Asia_Mult</t>
        </is>
      </c>
      <c r="G3" s="15" t="inlineStr">
        <is>
          <t>VIX_Add</t>
        </is>
      </c>
      <c r="H3" s="15" t="inlineStr">
        <is>
          <t>VVIX_Add</t>
        </is>
      </c>
      <c r="I3" s="15" t="inlineStr">
        <is>
          <t>VIX9D_Add</t>
        </is>
      </c>
      <c r="J3" s="15" t="inlineStr">
        <is>
          <t>SKEW_Add</t>
        </is>
      </c>
      <c r="K3" s="15" t="inlineStr">
        <is>
          <t>US10Y_Add_bp</t>
        </is>
      </c>
      <c r="L3" s="15" t="inlineStr">
        <is>
          <t>US2Y_Add_bp</t>
        </is>
      </c>
      <c r="M3" s="15" t="inlineStr">
        <is>
          <t>USDJPY_Mult</t>
        </is>
      </c>
      <c r="N3" s="15" t="inlineStr">
        <is>
          <t>Breadth_Add</t>
        </is>
      </c>
      <c r="O3" s="15" t="inlineStr">
        <is>
          <t>Dealer_Gamma_Shift</t>
        </is>
      </c>
      <c r="P3" s="15" t="inlineStr">
        <is>
          <t>Gamma_Conc_Add</t>
        </is>
      </c>
      <c r="Q3" s="15" t="inlineStr">
        <is>
          <t>ATM_IV_Add</t>
        </is>
      </c>
      <c r="R3" s="15" t="inlineStr">
        <is>
          <t>Term_Slope_Add</t>
        </is>
      </c>
      <c r="S3" s="15" t="inlineStr">
        <is>
          <t>Skew_Slope_Add</t>
        </is>
      </c>
      <c r="T3" s="15" t="inlineStr">
        <is>
          <t>CallPut_Imbal_Add</t>
        </is>
      </c>
      <c r="U3" s="15" t="inlineStr">
        <is>
          <t>OI_Conc_Add</t>
        </is>
      </c>
      <c r="V3" s="15" t="inlineStr">
        <is>
          <t>RV20d_Add</t>
        </is>
      </c>
    </row>
    <row r="4">
      <c r="A4" s="16" t="n">
        <v>1</v>
      </c>
      <c r="B4" s="16" t="inlineStr">
        <is>
          <t>Baseline</t>
        </is>
      </c>
      <c r="C4" s="17" t="n">
        <v>1</v>
      </c>
      <c r="D4" s="17" t="n">
        <v>1</v>
      </c>
      <c r="E4" s="17" t="n">
        <v>1</v>
      </c>
      <c r="F4" s="17" t="n">
        <v>1</v>
      </c>
      <c r="G4" s="17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1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</row>
    <row r="5">
      <c r="A5" s="18" t="n">
        <v>2</v>
      </c>
      <c r="B5" s="18" t="inlineStr">
        <is>
          <t>Stress</t>
        </is>
      </c>
      <c r="C5" s="19" t="n">
        <v>0.93</v>
      </c>
      <c r="D5" s="19" t="n">
        <v>1.25</v>
      </c>
      <c r="E5" s="19" t="n">
        <v>0.97</v>
      </c>
      <c r="F5" s="19" t="n">
        <v>0.95</v>
      </c>
      <c r="G5" s="19" t="n">
        <v>6</v>
      </c>
      <c r="H5" s="19" t="n">
        <v>14</v>
      </c>
      <c r="I5" s="19" t="n">
        <v>8</v>
      </c>
      <c r="J5" s="19" t="n">
        <v>6</v>
      </c>
      <c r="K5" s="19" t="n">
        <v>35</v>
      </c>
      <c r="L5" s="19" t="n">
        <v>20</v>
      </c>
      <c r="M5" s="19" t="n">
        <v>0.97</v>
      </c>
      <c r="N5" s="19" t="n">
        <v>-0.12</v>
      </c>
      <c r="O5" s="19" t="n">
        <v>-0.4</v>
      </c>
      <c r="P5" s="19" t="n">
        <v>0.1</v>
      </c>
      <c r="Q5" s="19" t="n">
        <v>0.08</v>
      </c>
      <c r="R5" s="19" t="n">
        <v>0.05</v>
      </c>
      <c r="S5" s="19" t="n">
        <v>0.04</v>
      </c>
      <c r="T5" s="19" t="n">
        <v>-0.1</v>
      </c>
      <c r="U5" s="19" t="n">
        <v>0.06</v>
      </c>
      <c r="V5" s="19" t="n">
        <v>0.08</v>
      </c>
    </row>
    <row r="6">
      <c r="A6" s="18" t="n">
        <v>3</v>
      </c>
      <c r="B6" s="18" t="inlineStr">
        <is>
          <t>Squeeze</t>
        </is>
      </c>
      <c r="C6" s="19" t="n">
        <v>1.08</v>
      </c>
      <c r="D6" s="19" t="n">
        <v>1.2</v>
      </c>
      <c r="E6" s="19" t="n">
        <v>1.03</v>
      </c>
      <c r="F6" s="19" t="n">
        <v>1.01</v>
      </c>
      <c r="G6" s="19" t="n">
        <v>-1</v>
      </c>
      <c r="H6" s="19" t="n">
        <v>3</v>
      </c>
      <c r="I6" s="19" t="n">
        <v>2</v>
      </c>
      <c r="J6" s="19" t="n">
        <v>-2</v>
      </c>
      <c r="K6" s="19" t="n">
        <v>8</v>
      </c>
      <c r="L6" s="19" t="n">
        <v>4</v>
      </c>
      <c r="M6" s="19" t="n">
        <v>1.01</v>
      </c>
      <c r="N6" s="19" t="n">
        <v>0.08</v>
      </c>
      <c r="O6" s="19" t="n">
        <v>0.45</v>
      </c>
      <c r="P6" s="19" t="n">
        <v>0.18</v>
      </c>
      <c r="Q6" s="19" t="n">
        <v>0.04</v>
      </c>
      <c r="R6" s="19" t="n">
        <v>-0.02</v>
      </c>
      <c r="S6" s="19" t="n">
        <v>-0.03</v>
      </c>
      <c r="T6" s="19" t="n">
        <v>0.18</v>
      </c>
      <c r="U6" s="19" t="n">
        <v>0.1</v>
      </c>
      <c r="V6" s="19" t="n">
        <v>0.04</v>
      </c>
    </row>
  </sheetData>
  <mergeCells count="1">
    <mergeCell ref="A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4" customWidth="1" min="4" max="4"/>
    <col width="20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Raw Input Catalog</t>
        </is>
      </c>
    </row>
    <row r="2">
      <c r="A2" t="inlineStr">
        <is>
          <t>Legacy mixed catalog retained for continuity only; use Raw_Primitives_Catalog and Derived_Features_Catalog as the source of truth.</t>
        </is>
      </c>
    </row>
    <row r="3">
      <c r="A3" s="15" t="inlineStr">
        <is>
          <t>Family</t>
        </is>
      </c>
      <c r="B3" s="15" t="inlineStr">
        <is>
          <t>Field_ID</t>
        </is>
      </c>
      <c r="C3" s="15" t="inlineStr">
        <is>
          <t>Field_Name</t>
        </is>
      </c>
      <c r="D3" s="15" t="inlineStr">
        <is>
          <t>Unit</t>
        </is>
      </c>
      <c r="E3" s="15" t="inlineStr">
        <is>
          <t>Purpose</t>
        </is>
      </c>
      <c r="F3" s="15" t="inlineStr">
        <is>
          <t>Typical Source Class</t>
        </is>
      </c>
      <c r="G3" s="15" t="inlineStr">
        <is>
          <t>Why It Matters</t>
        </is>
      </c>
      <c r="H3" s="15" t="inlineStr">
        <is>
          <t>Notes</t>
        </is>
      </c>
    </row>
    <row r="4">
      <c r="A4" s="20" t="inlineStr">
        <is>
          <t>US beta futures</t>
        </is>
      </c>
      <c r="B4" s="20" t="inlineStr">
        <is>
          <t>R01</t>
        </is>
      </c>
      <c r="C4" s="21" t="inlineStr">
        <is>
          <t>ES futures</t>
        </is>
      </c>
      <c r="D4" s="21" t="inlineStr">
        <is>
          <t>index level</t>
        </is>
      </c>
      <c r="E4" s="21" t="inlineStr">
        <is>
          <t>Broad US beta tape</t>
        </is>
      </c>
      <c r="F4" s="21" t="inlineStr">
        <is>
          <t>futures / vendor feed</t>
        </is>
      </c>
      <c r="G4" s="21" t="inlineStr">
        <is>
          <t>Continuous overnight discovery for US risk</t>
        </is>
      </c>
      <c r="H4" s="21" t="inlineStr">
        <is>
          <t>Preferred over cash ETF as primary beta tape</t>
        </is>
      </c>
    </row>
    <row r="5">
      <c r="A5" s="20" t="inlineStr">
        <is>
          <t>US beta futures</t>
        </is>
      </c>
      <c r="B5" s="20" t="inlineStr">
        <is>
          <t>R02</t>
        </is>
      </c>
      <c r="C5" s="21" t="inlineStr">
        <is>
          <t>NQ futures</t>
        </is>
      </c>
      <c r="D5" s="21" t="inlineStr">
        <is>
          <t>index level</t>
        </is>
      </c>
      <c r="E5" s="21" t="inlineStr">
        <is>
          <t>US tech beta tape</t>
        </is>
      </c>
      <c r="F5" s="21" t="inlineStr">
        <is>
          <t>futures / vendor feed</t>
        </is>
      </c>
      <c r="G5" s="21" t="inlineStr">
        <is>
          <t>Best live proxy for US tech / growth beta</t>
        </is>
      </c>
      <c r="H5" s="21" t="inlineStr">
        <is>
          <t>Critical for NVDA beta-residual work</t>
        </is>
      </c>
    </row>
    <row r="6">
      <c r="A6" s="20" t="inlineStr">
        <is>
          <t>Single-name execution</t>
        </is>
      </c>
      <c r="B6" s="20" t="inlineStr">
        <is>
          <t>R03</t>
        </is>
      </c>
      <c r="C6" s="21" t="inlineStr">
        <is>
          <t>NVDA close / spot</t>
        </is>
      </c>
      <c r="D6" s="21" t="inlineStr">
        <is>
          <t>price</t>
        </is>
      </c>
      <c r="E6" s="21" t="inlineStr">
        <is>
          <t>Underlying price state</t>
        </is>
      </c>
      <c r="F6" s="21" t="inlineStr">
        <is>
          <t>single-name market data</t>
        </is>
      </c>
      <c r="G6" s="21" t="inlineStr">
        <is>
          <t>Primary single-name state</t>
        </is>
      </c>
      <c r="H6" s="21" t="inlineStr">
        <is>
          <t>Use with volume to derive VWAP</t>
        </is>
      </c>
    </row>
    <row r="7">
      <c r="A7" s="20" t="inlineStr">
        <is>
          <t>Single-name execution</t>
        </is>
      </c>
      <c r="B7" s="20" t="inlineStr">
        <is>
          <t>R04</t>
        </is>
      </c>
      <c r="C7" s="21" t="inlineStr">
        <is>
          <t>NVDA high</t>
        </is>
      </c>
      <c r="D7" s="21" t="inlineStr">
        <is>
          <t>price</t>
        </is>
      </c>
      <c r="E7" s="21" t="inlineStr">
        <is>
          <t>Range state</t>
        </is>
      </c>
      <c r="F7" s="21" t="inlineStr">
        <is>
          <t>single-name market data</t>
        </is>
      </c>
      <c r="G7" s="21" t="inlineStr">
        <is>
          <t>Captures realised intraperiod excursion</t>
        </is>
      </c>
      <c r="H7" s="21" t="inlineStr">
        <is>
          <t>Used for range / trap proxies</t>
        </is>
      </c>
    </row>
    <row r="8">
      <c r="A8" s="20" t="inlineStr">
        <is>
          <t>Single-name execution</t>
        </is>
      </c>
      <c r="B8" s="20" t="inlineStr">
        <is>
          <t>R05</t>
        </is>
      </c>
      <c r="C8" s="21" t="inlineStr">
        <is>
          <t>NVDA low</t>
        </is>
      </c>
      <c r="D8" s="21" t="inlineStr">
        <is>
          <t>price</t>
        </is>
      </c>
      <c r="E8" s="21" t="inlineStr">
        <is>
          <t>Range state</t>
        </is>
      </c>
      <c r="F8" s="21" t="inlineStr">
        <is>
          <t>single-name market data</t>
        </is>
      </c>
      <c r="G8" s="21" t="inlineStr">
        <is>
          <t>Captures realised intraperiod excursion</t>
        </is>
      </c>
      <c r="H8" s="21" t="inlineStr">
        <is>
          <t>Used for range / trap proxies</t>
        </is>
      </c>
    </row>
    <row r="9">
      <c r="A9" s="20" t="inlineStr">
        <is>
          <t>Single-name execution</t>
        </is>
      </c>
      <c r="B9" s="20" t="inlineStr">
        <is>
          <t>R06</t>
        </is>
      </c>
      <c r="C9" s="21" t="inlineStr">
        <is>
          <t>NVDA volume</t>
        </is>
      </c>
      <c r="D9" s="21" t="inlineStr">
        <is>
          <t>shares or $</t>
        </is>
      </c>
      <c r="E9" s="21" t="inlineStr">
        <is>
          <t>Participation / execution state</t>
        </is>
      </c>
      <c r="F9" s="21" t="inlineStr">
        <is>
          <t>single-name market data</t>
        </is>
      </c>
      <c r="G9" s="21" t="inlineStr">
        <is>
          <t>Needed for VWAP, RVOL, participation baselines</t>
        </is>
      </c>
      <c r="H9" s="21" t="inlineStr">
        <is>
          <t>VWAP is derived, not raw</t>
        </is>
      </c>
    </row>
    <row r="10">
      <c r="A10" s="20" t="inlineStr">
        <is>
          <t>Sector / industry</t>
        </is>
      </c>
      <c r="B10" s="20" t="inlineStr">
        <is>
          <t>R07</t>
        </is>
      </c>
      <c r="C10" s="21" t="inlineStr">
        <is>
          <t>XLK / tech proxy</t>
        </is>
      </c>
      <c r="D10" s="21" t="inlineStr">
        <is>
          <t>index / ETF level</t>
        </is>
      </c>
      <c r="E10" s="21" t="inlineStr">
        <is>
          <t>US tech sector state</t>
        </is>
      </c>
      <c r="F10" s="21" t="inlineStr">
        <is>
          <t>sector market data</t>
        </is>
      </c>
      <c r="G10" s="21" t="inlineStr">
        <is>
          <t>Helps separate broad beta from tech leadership</t>
        </is>
      </c>
      <c r="H10" s="21" t="inlineStr">
        <is>
          <t>Proxy until cleaner IT sector feed</t>
        </is>
      </c>
    </row>
    <row r="11">
      <c r="A11" s="20" t="inlineStr">
        <is>
          <t>Sector / industry</t>
        </is>
      </c>
      <c r="B11" s="20" t="inlineStr">
        <is>
          <t>R08</t>
        </is>
      </c>
      <c r="C11" s="21" t="inlineStr">
        <is>
          <t>SOX / semis complex</t>
        </is>
      </c>
      <c r="D11" s="21" t="inlineStr">
        <is>
          <t>index level</t>
        </is>
      </c>
      <c r="E11" s="21" t="inlineStr">
        <is>
          <t>Semiconductor leadership</t>
        </is>
      </c>
      <c r="F11" s="21" t="inlineStr">
        <is>
          <t>sector market data</t>
        </is>
      </c>
      <c r="G11" s="21" t="inlineStr">
        <is>
          <t>NVDA often trades as semis leader</t>
        </is>
      </c>
      <c r="H11" s="21" t="inlineStr">
        <is>
          <t>Prefer SOX first-class state</t>
        </is>
      </c>
    </row>
    <row r="12">
      <c r="A12" s="20" t="inlineStr">
        <is>
          <t>Asia handoff</t>
        </is>
      </c>
      <c r="B12" s="20" t="inlineStr">
        <is>
          <t>R09</t>
        </is>
      </c>
      <c r="C12" s="21" t="inlineStr">
        <is>
          <t>Nikkei 225</t>
        </is>
      </c>
      <c r="D12" s="21" t="inlineStr">
        <is>
          <t>index level</t>
        </is>
      </c>
      <c r="E12" s="21" t="inlineStr">
        <is>
          <t>Japan overnight risk handoff</t>
        </is>
      </c>
      <c r="F12" s="21" t="inlineStr">
        <is>
          <t>Asia market data</t>
        </is>
      </c>
      <c r="G12" s="21" t="inlineStr">
        <is>
          <t>Captures overnight risk and carry unwind tone</t>
        </is>
      </c>
      <c r="H12" s="21" t="inlineStr">
        <is>
          <t>Could use futures later</t>
        </is>
      </c>
    </row>
    <row r="13">
      <c r="A13" s="20" t="inlineStr">
        <is>
          <t>Asia handoff</t>
        </is>
      </c>
      <c r="B13" s="20" t="inlineStr">
        <is>
          <t>R10</t>
        </is>
      </c>
      <c r="C13" s="21" t="inlineStr">
        <is>
          <t>Hang Seng Index</t>
        </is>
      </c>
      <c r="D13" s="21" t="inlineStr">
        <is>
          <t>index level</t>
        </is>
      </c>
      <c r="E13" s="21" t="inlineStr">
        <is>
          <t>Hong Kong overnight risk handoff</t>
        </is>
      </c>
      <c r="F13" s="21" t="inlineStr">
        <is>
          <t>Asia market data</t>
        </is>
      </c>
      <c r="G13" s="21" t="inlineStr">
        <is>
          <t>Captures China / HK equity sentiment</t>
        </is>
      </c>
      <c r="H13" s="21" t="inlineStr">
        <is>
          <t>Use with HSTECH</t>
        </is>
      </c>
    </row>
    <row r="14">
      <c r="A14" s="20" t="inlineStr">
        <is>
          <t>Asia handoff</t>
        </is>
      </c>
      <c r="B14" s="20" t="inlineStr">
        <is>
          <t>R11</t>
        </is>
      </c>
      <c r="C14" s="21" t="inlineStr">
        <is>
          <t>Hang Seng TECH</t>
        </is>
      </c>
      <c r="D14" s="21" t="inlineStr">
        <is>
          <t>index level</t>
        </is>
      </c>
      <c r="E14" s="21" t="inlineStr">
        <is>
          <t>China-tech / HK tech sentiment</t>
        </is>
      </c>
      <c r="F14" s="21" t="inlineStr">
        <is>
          <t>Asia market data</t>
        </is>
      </c>
      <c r="G14" s="21" t="inlineStr">
        <is>
          <t>Adds tech-specific Asia context</t>
        </is>
      </c>
      <c r="H14" s="21" t="inlineStr">
        <is>
          <t>Useful for overnight tech repricing</t>
        </is>
      </c>
    </row>
    <row r="15">
      <c r="A15" s="20" t="inlineStr">
        <is>
          <t>Vol complex</t>
        </is>
      </c>
      <c r="B15" s="20" t="inlineStr">
        <is>
          <t>R12</t>
        </is>
      </c>
      <c r="C15" s="21" t="inlineStr">
        <is>
          <t>VIX</t>
        </is>
      </c>
      <c r="D15" s="21" t="inlineStr">
        <is>
          <t>index points</t>
        </is>
      </c>
      <c r="E15" s="21" t="inlineStr">
        <is>
          <t>Broad US equity implied vol</t>
        </is>
      </c>
      <c r="F15" s="21" t="inlineStr">
        <is>
          <t>volatility index data</t>
        </is>
      </c>
      <c r="G15" s="21" t="inlineStr">
        <is>
          <t>Headline risk regime</t>
        </is>
      </c>
      <c r="H15" s="21" t="inlineStr">
        <is>
          <t>Need curve context too</t>
        </is>
      </c>
    </row>
    <row r="16">
      <c r="A16" s="20" t="inlineStr">
        <is>
          <t>Vol complex</t>
        </is>
      </c>
      <c r="B16" s="20" t="inlineStr">
        <is>
          <t>R13</t>
        </is>
      </c>
      <c r="C16" s="21" t="inlineStr">
        <is>
          <t>VVIX</t>
        </is>
      </c>
      <c r="D16" s="21" t="inlineStr">
        <is>
          <t>index points</t>
        </is>
      </c>
      <c r="E16" s="21" t="inlineStr">
        <is>
          <t>Vol-of-vol</t>
        </is>
      </c>
      <c r="F16" s="21" t="inlineStr">
        <is>
          <t>volatility index data</t>
        </is>
      </c>
      <c r="G16" s="21" t="inlineStr">
        <is>
          <t>Shows stress in vol regime itself</t>
        </is>
      </c>
      <c r="H16" s="21" t="inlineStr">
        <is>
          <t>Useful destabilisation signal</t>
        </is>
      </c>
    </row>
    <row r="17">
      <c r="A17" s="20" t="inlineStr">
        <is>
          <t>Vol complex</t>
        </is>
      </c>
      <c r="B17" s="20" t="inlineStr">
        <is>
          <t>R14</t>
        </is>
      </c>
      <c r="C17" s="21" t="inlineStr">
        <is>
          <t>VIX9D</t>
        </is>
      </c>
      <c r="D17" s="21" t="inlineStr">
        <is>
          <t>index points</t>
        </is>
      </c>
      <c r="E17" s="21" t="inlineStr">
        <is>
          <t>Short-end vol stress</t>
        </is>
      </c>
      <c r="F17" s="21" t="inlineStr">
        <is>
          <t>volatility index data</t>
        </is>
      </c>
      <c r="G17" s="21" t="inlineStr">
        <is>
          <t>Distinguishes near-term shock from broader stress</t>
        </is>
      </c>
      <c r="H17" s="21" t="inlineStr">
        <is>
          <t>Good event-risk lens</t>
        </is>
      </c>
    </row>
    <row r="18">
      <c r="A18" s="20" t="inlineStr">
        <is>
          <t>Vol complex</t>
        </is>
      </c>
      <c r="B18" s="20" t="inlineStr">
        <is>
          <t>R15</t>
        </is>
      </c>
      <c r="C18" s="21" t="inlineStr">
        <is>
          <t>SKEW</t>
        </is>
      </c>
      <c r="D18" s="21" t="inlineStr">
        <is>
          <t>index points</t>
        </is>
      </c>
      <c r="E18" s="21" t="inlineStr">
        <is>
          <t>Tail-risk pricing</t>
        </is>
      </c>
      <c r="F18" s="21" t="inlineStr">
        <is>
          <t>volatility index data</t>
        </is>
      </c>
      <c r="G18" s="21" t="inlineStr">
        <is>
          <t>Measures downside tail demand</t>
        </is>
      </c>
      <c r="H18" s="21" t="inlineStr">
        <is>
          <t>Useful veto input</t>
        </is>
      </c>
    </row>
    <row r="19">
      <c r="A19" s="20" t="inlineStr">
        <is>
          <t>Rates / FX</t>
        </is>
      </c>
      <c r="B19" s="20" t="inlineStr">
        <is>
          <t>R16</t>
        </is>
      </c>
      <c r="C19" s="21" t="inlineStr">
        <is>
          <t>US 10Y yield</t>
        </is>
      </c>
      <c r="D19" s="21" t="inlineStr">
        <is>
          <t>bp</t>
        </is>
      </c>
      <c r="E19" s="21" t="inlineStr">
        <is>
          <t>Discount-rate level</t>
        </is>
      </c>
      <c r="F19" s="21" t="inlineStr">
        <is>
          <t>rates data</t>
        </is>
      </c>
      <c r="G19" s="21" t="inlineStr">
        <is>
          <t>Growth-beta sensitivity</t>
        </is>
      </c>
      <c r="H19" s="21" t="inlineStr">
        <is>
          <t>Use with 2Y to build slope</t>
        </is>
      </c>
    </row>
    <row r="20">
      <c r="A20" s="20" t="inlineStr">
        <is>
          <t>Rates / FX</t>
        </is>
      </c>
      <c r="B20" s="20" t="inlineStr">
        <is>
          <t>R17</t>
        </is>
      </c>
      <c r="C20" s="21" t="inlineStr">
        <is>
          <t>US 2Y yield</t>
        </is>
      </c>
      <c r="D20" s="21" t="inlineStr">
        <is>
          <t>bp</t>
        </is>
      </c>
      <c r="E20" s="21" t="inlineStr">
        <is>
          <t>Front-end rate level</t>
        </is>
      </c>
      <c r="F20" s="21" t="inlineStr">
        <is>
          <t>rates data</t>
        </is>
      </c>
      <c r="G20" s="21" t="inlineStr">
        <is>
          <t>Policy sensitivity</t>
        </is>
      </c>
      <c r="H20" s="21" t="inlineStr">
        <is>
          <t>Needed for 10s2s slope</t>
        </is>
      </c>
    </row>
    <row r="21">
      <c r="A21" s="20" t="inlineStr">
        <is>
          <t>Rates / FX</t>
        </is>
      </c>
      <c r="B21" s="20" t="inlineStr">
        <is>
          <t>R18</t>
        </is>
      </c>
      <c r="C21" s="21" t="inlineStr">
        <is>
          <t>USDJPY</t>
        </is>
      </c>
      <c r="D21" s="21" t="inlineStr">
        <is>
          <t>FX rate</t>
        </is>
      </c>
      <c r="E21" s="21" t="inlineStr">
        <is>
          <t>Carry / risk sentiment proxy</t>
        </is>
      </c>
      <c r="F21" s="21" t="inlineStr">
        <is>
          <t>FX market data</t>
        </is>
      </c>
      <c r="G21" s="21" t="inlineStr">
        <is>
          <t>Useful for risk-off / carry unwind read</t>
        </is>
      </c>
      <c r="H21" s="21" t="inlineStr">
        <is>
          <t>Desk-grade cross-asset context</t>
        </is>
      </c>
    </row>
    <row r="22">
      <c r="A22" s="20" t="inlineStr">
        <is>
          <t>Breadth / concentration</t>
        </is>
      </c>
      <c r="B22" s="20" t="inlineStr">
        <is>
          <t>R19</t>
        </is>
      </c>
      <c r="C22" s="21" t="inlineStr">
        <is>
          <t>SPX breadth</t>
        </is>
      </c>
      <c r="D22" s="21" t="inlineStr">
        <is>
          <t>share or ratio</t>
        </is>
      </c>
      <c r="E22" s="21" t="inlineStr">
        <is>
          <t>Market breadth</t>
        </is>
      </c>
      <c r="F22" s="21" t="inlineStr">
        <is>
          <t>breadth data</t>
        </is>
      </c>
      <c r="G22" s="21" t="inlineStr">
        <is>
          <t>Distinguishes broad move vs narrow move</t>
        </is>
      </c>
      <c r="H22" s="21" t="inlineStr">
        <is>
          <t>Can start with proxy ratio</t>
        </is>
      </c>
    </row>
    <row r="23">
      <c r="A23" s="20" t="inlineStr">
        <is>
          <t>Breadth / concentration</t>
        </is>
      </c>
      <c r="B23" s="20" t="inlineStr">
        <is>
          <t>R20</t>
        </is>
      </c>
      <c r="C23" s="21" t="inlineStr">
        <is>
          <t>NDX breadth</t>
        </is>
      </c>
      <c r="D23" s="21" t="inlineStr">
        <is>
          <t>share or ratio</t>
        </is>
      </c>
      <c r="E23" s="21" t="inlineStr">
        <is>
          <t>Tech breadth</t>
        </is>
      </c>
      <c r="F23" s="21" t="inlineStr">
        <is>
          <t>breadth data</t>
        </is>
      </c>
      <c r="G23" s="21" t="inlineStr">
        <is>
          <t>Shows if tech move is broad</t>
        </is>
      </c>
      <c r="H23" s="21" t="inlineStr">
        <is>
          <t>Important for confirmation</t>
        </is>
      </c>
    </row>
    <row r="24">
      <c r="A24" s="20" t="inlineStr">
        <is>
          <t>Breadth / concentration</t>
        </is>
      </c>
      <c r="B24" s="20" t="inlineStr">
        <is>
          <t>R21</t>
        </is>
      </c>
      <c r="C24" s="21" t="inlineStr">
        <is>
          <t>SOX breadth</t>
        </is>
      </c>
      <c r="D24" s="21" t="inlineStr">
        <is>
          <t>share or ratio</t>
        </is>
      </c>
      <c r="E24" s="21" t="inlineStr">
        <is>
          <t>Semis breadth</t>
        </is>
      </c>
      <c r="F24" s="21" t="inlineStr">
        <is>
          <t>breadth data</t>
        </is>
      </c>
      <c r="G24" s="21" t="inlineStr">
        <is>
          <t>Shows whether semis follow through</t>
        </is>
      </c>
      <c r="H24" s="21" t="inlineStr">
        <is>
          <t>Good for leadership quality</t>
        </is>
      </c>
    </row>
    <row r="25">
      <c r="A25" s="20" t="inlineStr">
        <is>
          <t>Options state</t>
        </is>
      </c>
      <c r="B25" s="20" t="inlineStr">
        <is>
          <t>R22</t>
        </is>
      </c>
      <c r="C25" s="21" t="inlineStr">
        <is>
          <t>Dealer gamma bucket</t>
        </is>
      </c>
      <c r="D25" s="21" t="inlineStr">
        <is>
          <t>-1 to 1</t>
        </is>
      </c>
      <c r="E25" s="21" t="inlineStr">
        <is>
          <t>Simplified dealer positioning sign</t>
        </is>
      </c>
      <c r="F25" s="21" t="inlineStr">
        <is>
          <t>options-state proxy</t>
        </is>
      </c>
      <c r="G25" s="21" t="inlineStr">
        <is>
          <t>Stabilising vs destabilising hedge behaviour</t>
        </is>
      </c>
      <c r="H25" s="21" t="inlineStr">
        <is>
          <t>Proxy before full chain build</t>
        </is>
      </c>
    </row>
    <row r="26">
      <c r="A26" s="20" t="inlineStr">
        <is>
          <t>Options state</t>
        </is>
      </c>
      <c r="B26" s="20" t="inlineStr">
        <is>
          <t>R23</t>
        </is>
      </c>
      <c r="C26" s="21" t="inlineStr">
        <is>
          <t>Gamma concentration near spot</t>
        </is>
      </c>
      <c r="D26" s="21" t="inlineStr">
        <is>
          <t>0 to 1</t>
        </is>
      </c>
      <c r="E26" s="21" t="inlineStr">
        <is>
          <t>Strike clustering near spot</t>
        </is>
      </c>
      <c r="F26" s="21" t="inlineStr">
        <is>
          <t>options-state proxy</t>
        </is>
      </c>
      <c r="G26" s="21" t="inlineStr">
        <is>
          <t>Helps identify pin or squeeze zones</t>
        </is>
      </c>
      <c r="H26" s="21" t="inlineStr">
        <is>
          <t>Proxy field</t>
        </is>
      </c>
    </row>
    <row r="27">
      <c r="A27" s="20" t="inlineStr">
        <is>
          <t>Options state</t>
        </is>
      </c>
      <c r="B27" s="20" t="inlineStr">
        <is>
          <t>R24</t>
        </is>
      </c>
      <c r="C27" s="21" t="inlineStr">
        <is>
          <t>ATM IV</t>
        </is>
      </c>
      <c r="D27" s="21" t="inlineStr">
        <is>
          <t>decimal</t>
        </is>
      </c>
      <c r="E27" s="21" t="inlineStr">
        <is>
          <t>General optionality price</t>
        </is>
      </c>
      <c r="F27" s="21" t="inlineStr">
        <is>
          <t>options-state proxy</t>
        </is>
      </c>
      <c r="G27" s="21" t="inlineStr">
        <is>
          <t>Base implied-vol level</t>
        </is>
      </c>
      <c r="H27" s="21" t="inlineStr">
        <is>
          <t>Proxy field</t>
        </is>
      </c>
    </row>
    <row r="28">
      <c r="A28" s="20" t="inlineStr">
        <is>
          <t>Options state</t>
        </is>
      </c>
      <c r="B28" s="20" t="inlineStr">
        <is>
          <t>R25</t>
        </is>
      </c>
      <c r="C28" s="21" t="inlineStr">
        <is>
          <t>Front-vs-next term slope</t>
        </is>
      </c>
      <c r="D28" s="21" t="inlineStr">
        <is>
          <t>decimal</t>
        </is>
      </c>
      <c r="E28" s="21" t="inlineStr">
        <is>
          <t>Event stress vs medium stress</t>
        </is>
      </c>
      <c r="F28" s="21" t="inlineStr">
        <is>
          <t>options-state proxy</t>
        </is>
      </c>
      <c r="G28" s="21" t="inlineStr">
        <is>
          <t>Term-structure clue</t>
        </is>
      </c>
      <c r="H28" s="21" t="inlineStr">
        <is>
          <t>Proxy field</t>
        </is>
      </c>
    </row>
    <row r="29">
      <c r="A29" s="20" t="inlineStr">
        <is>
          <t>Options state</t>
        </is>
      </c>
      <c r="B29" s="20" t="inlineStr">
        <is>
          <t>R26</t>
        </is>
      </c>
      <c r="C29" s="21" t="inlineStr">
        <is>
          <t>Skew slope</t>
        </is>
      </c>
      <c r="D29" s="21" t="inlineStr">
        <is>
          <t>decimal</t>
        </is>
      </c>
      <c r="E29" s="21" t="inlineStr">
        <is>
          <t>Downside fear vs upside chase</t>
        </is>
      </c>
      <c r="F29" s="21" t="inlineStr">
        <is>
          <t>options-state proxy</t>
        </is>
      </c>
      <c r="G29" s="21" t="inlineStr">
        <is>
          <t>Shape of optionality demand</t>
        </is>
      </c>
      <c r="H29" s="21" t="inlineStr">
        <is>
          <t>Proxy field</t>
        </is>
      </c>
    </row>
    <row r="30">
      <c r="A30" s="20" t="inlineStr">
        <is>
          <t>Options state</t>
        </is>
      </c>
      <c r="B30" s="20" t="inlineStr">
        <is>
          <t>R27</t>
        </is>
      </c>
      <c r="C30" s="21" t="inlineStr">
        <is>
          <t>Call/put vol imbalance</t>
        </is>
      </c>
      <c r="D30" s="21" t="inlineStr">
        <is>
          <t>-1 to 1</t>
        </is>
      </c>
      <c r="E30" s="21" t="inlineStr">
        <is>
          <t>Flow bias</t>
        </is>
      </c>
      <c r="F30" s="21" t="inlineStr">
        <is>
          <t>options-state proxy</t>
        </is>
      </c>
      <c r="G30" s="21" t="inlineStr">
        <is>
          <t>Upside chase vs downside demand</t>
        </is>
      </c>
      <c r="H30" s="21" t="inlineStr">
        <is>
          <t>Proxy field</t>
        </is>
      </c>
    </row>
    <row r="31">
      <c r="A31" s="20" t="inlineStr">
        <is>
          <t>Options state</t>
        </is>
      </c>
      <c r="B31" s="20" t="inlineStr">
        <is>
          <t>R28</t>
        </is>
      </c>
      <c r="C31" s="21" t="inlineStr">
        <is>
          <t>OI concentration</t>
        </is>
      </c>
      <c r="D31" s="21" t="inlineStr">
        <is>
          <t>0 to 1</t>
        </is>
      </c>
      <c r="E31" s="21" t="inlineStr">
        <is>
          <t>Crowding near key strikes</t>
        </is>
      </c>
      <c r="F31" s="21" t="inlineStr">
        <is>
          <t>options-state proxy</t>
        </is>
      </c>
      <c r="G31" s="21" t="inlineStr">
        <is>
          <t>Supports pin / squeeze analysis</t>
        </is>
      </c>
      <c r="H31" s="21" t="inlineStr">
        <is>
          <t>Proxy field</t>
        </is>
      </c>
    </row>
    <row r="32">
      <c r="A32" s="20" t="inlineStr">
        <is>
          <t>Events</t>
        </is>
      </c>
      <c r="B32" s="20" t="inlineStr">
        <is>
          <t>R29</t>
        </is>
      </c>
      <c r="C32" s="21" t="inlineStr">
        <is>
          <t>Event flag</t>
        </is>
      </c>
      <c r="D32" s="21" t="inlineStr">
        <is>
          <t>0/1</t>
        </is>
      </c>
      <c r="E32" s="21" t="inlineStr">
        <is>
          <t>Special event / catalyst</t>
        </is>
      </c>
      <c r="F32" s="21" t="inlineStr">
        <is>
          <t>calendar / manual flag</t>
        </is>
      </c>
      <c r="G32" s="21" t="inlineStr">
        <is>
          <t>Prevents blind extrapolation</t>
        </is>
      </c>
      <c r="H32" s="21" t="inlineStr">
        <is>
          <t>Macro, earnings, policy windows</t>
        </is>
      </c>
    </row>
    <row r="33">
      <c r="A33" s="20" t="inlineStr">
        <is>
          <t>Temporal Step1</t>
        </is>
      </c>
      <c r="B33" s="20" t="inlineStr">
        <is>
          <t>R30</t>
        </is>
      </c>
      <c r="C33" s="20" t="inlineStr">
        <is>
          <t>Snapshot timestamp ET</t>
        </is>
      </c>
      <c r="D33" s="20" t="inlineStr">
        <is>
          <t>datetime</t>
        </is>
      </c>
      <c r="E33" s="20" t="inlineStr">
        <is>
          <t>Exact 30-second observation time in market timezone</t>
        </is>
      </c>
      <c r="F33" s="20" t="inlineStr">
        <is>
          <t>market clock / feed timestamp</t>
        </is>
      </c>
      <c r="G33" s="20" t="inlineStr">
        <is>
          <t>Foundation for session date, weekday, month, and minutes since open</t>
        </is>
      </c>
      <c r="H33" s="20" t="inlineStr">
        <is>
          <t>Target cadence: 30 seconds</t>
        </is>
      </c>
    </row>
    <row r="34">
      <c r="A34" s="20" t="inlineStr">
        <is>
          <t>Temporal Step1</t>
        </is>
      </c>
      <c r="B34" s="20" t="inlineStr">
        <is>
          <t>R31</t>
        </is>
      </c>
      <c r="C34" s="20" t="inlineStr">
        <is>
          <t>Session date ET</t>
        </is>
      </c>
      <c r="D34" s="20" t="inlineStr">
        <is>
          <t>date</t>
        </is>
      </c>
      <c r="E34" s="20" t="inlineStr">
        <is>
          <t>Trading session anchor date</t>
        </is>
      </c>
      <c r="F34" s="20" t="inlineStr">
        <is>
          <t>derived from timestamp</t>
        </is>
      </c>
      <c r="G34" s="20" t="inlineStr">
        <is>
          <t>Separates calendar logic from intraday state logic</t>
        </is>
      </c>
      <c r="H34" s="20" t="inlineStr">
        <is>
          <t>Useful for replay partitioning</t>
        </is>
      </c>
    </row>
    <row r="35">
      <c r="A35" s="20" t="inlineStr">
        <is>
          <t>Temporal Step1</t>
        </is>
      </c>
      <c r="B35" s="20" t="inlineStr">
        <is>
          <t>R32</t>
        </is>
      </c>
      <c r="C35" s="20" t="inlineStr">
        <is>
          <t>Prior close price</t>
        </is>
      </c>
      <c r="D35" s="20" t="inlineStr">
        <is>
          <t>price</t>
        </is>
      </c>
      <c r="E35" s="20" t="inlineStr">
        <is>
          <t>Reference for gap / carryover into the session</t>
        </is>
      </c>
      <c r="F35" s="20" t="inlineStr">
        <is>
          <t>single-name market data</t>
        </is>
      </c>
      <c r="G35" s="20" t="inlineStr">
        <is>
          <t>Lets Step 1 know what happened into now without using later modules</t>
        </is>
      </c>
      <c r="H35" s="20" t="inlineStr">
        <is>
          <t>Required for gap context</t>
        </is>
      </c>
    </row>
    <row r="36">
      <c r="A36" s="20" t="inlineStr">
        <is>
          <t>Temporal Step1</t>
        </is>
      </c>
      <c r="B36" s="20" t="inlineStr">
        <is>
          <t>R33</t>
        </is>
      </c>
      <c r="C36" s="20" t="inlineStr">
        <is>
          <t>Official open print</t>
        </is>
      </c>
      <c r="D36" s="20" t="inlineStr">
        <is>
          <t>price</t>
        </is>
      </c>
      <c r="E36" s="20" t="inlineStr">
        <is>
          <t>Opening auction / first regular-hours reference</t>
        </is>
      </c>
      <c r="F36" s="20" t="inlineStr">
        <is>
          <t>single-name market data</t>
        </is>
      </c>
      <c r="G36" s="20" t="inlineStr">
        <is>
          <t>Needed for opening-range and discovery logic</t>
        </is>
      </c>
      <c r="H36" s="20" t="inlineStr">
        <is>
          <t>Use regular-hours open only</t>
        </is>
      </c>
    </row>
    <row r="37">
      <c r="A37" s="20" t="inlineStr">
        <is>
          <t>Temporal Step1</t>
        </is>
      </c>
      <c r="B37" s="20" t="inlineStr">
        <is>
          <t>R34</t>
        </is>
      </c>
      <c r="C37" s="20" t="inlineStr">
        <is>
          <t>Last price</t>
        </is>
      </c>
      <c r="D37" s="20" t="inlineStr">
        <is>
          <t>price</t>
        </is>
      </c>
      <c r="E37" s="20" t="inlineStr">
        <is>
          <t>Current observed trade/mark for Step 1</t>
        </is>
      </c>
      <c r="F37" s="20" t="inlineStr">
        <is>
          <t>single-name market data</t>
        </is>
      </c>
      <c r="G37" s="20" t="inlineStr">
        <is>
          <t>Anchor for VWAP distance and rolling range</t>
        </is>
      </c>
      <c r="H37" s="20" t="inlineStr">
        <is>
          <t>Primitive only; no regime score</t>
        </is>
      </c>
    </row>
    <row r="38">
      <c r="A38" s="20" t="inlineStr">
        <is>
          <t>Temporal Step1</t>
        </is>
      </c>
      <c r="B38" s="20" t="inlineStr">
        <is>
          <t>R35</t>
        </is>
      </c>
      <c r="C38" s="20" t="inlineStr">
        <is>
          <t>Interval volume shares</t>
        </is>
      </c>
      <c r="D38" s="20" t="inlineStr">
        <is>
          <t>shares / 30s</t>
        </is>
      </c>
      <c r="E38" s="20" t="inlineStr">
        <is>
          <t>Observed traded volume in the current bucket</t>
        </is>
      </c>
      <c r="F38" s="20" t="inlineStr">
        <is>
          <t>single-name market data</t>
        </is>
      </c>
      <c r="G38" s="20" t="inlineStr">
        <is>
          <t>Core participation input for open/close and compression logic</t>
        </is>
      </c>
      <c r="H38" s="20" t="inlineStr">
        <is>
          <t>30-second bucket preferred</t>
        </is>
      </c>
    </row>
    <row r="39">
      <c r="A39" s="20" t="inlineStr">
        <is>
          <t>Temporal Step1</t>
        </is>
      </c>
      <c r="B39" s="20" t="inlineStr">
        <is>
          <t>R36</t>
        </is>
      </c>
      <c r="C39" s="20" t="inlineStr">
        <is>
          <t>Cumulative session volume</t>
        </is>
      </c>
      <c r="D39" s="20" t="inlineStr">
        <is>
          <t>shares</t>
        </is>
      </c>
      <c r="E39" s="20" t="inlineStr">
        <is>
          <t>Session-to-date traded volume</t>
        </is>
      </c>
      <c r="F39" s="20" t="inlineStr">
        <is>
          <t>single-name market data</t>
        </is>
      </c>
      <c r="G39" s="20" t="inlineStr">
        <is>
          <t>Needed for relative-volume and VWAP accumulation</t>
        </is>
      </c>
      <c r="H39" s="20" t="inlineStr">
        <is>
          <t>Can be derived from interval volume</t>
        </is>
      </c>
    </row>
    <row r="40">
      <c r="A40" s="20" t="inlineStr">
        <is>
          <t>Temporal Step1</t>
        </is>
      </c>
      <c r="B40" s="20" t="inlineStr">
        <is>
          <t>R37</t>
        </is>
      </c>
      <c r="C40" s="20" t="inlineStr">
        <is>
          <t>Session VWAP</t>
        </is>
      </c>
      <c r="D40" s="20" t="inlineStr">
        <is>
          <t>price</t>
        </is>
      </c>
      <c r="E40" s="20" t="inlineStr">
        <is>
          <t>Current regular-hours VWAP</t>
        </is>
      </c>
      <c r="F40" s="20" t="inlineStr">
        <is>
          <t>price + volume accumulator</t>
        </is>
      </c>
      <c r="G40" s="20" t="inlineStr">
        <is>
          <t>Critical fair-value anchor for early stabilisation vs drift</t>
        </is>
      </c>
      <c r="H40" s="20" t="inlineStr">
        <is>
          <t>Primitive Step 1 observable</t>
        </is>
      </c>
    </row>
    <row r="41">
      <c r="A41" s="20" t="inlineStr">
        <is>
          <t>Temporal Step1</t>
        </is>
      </c>
      <c r="B41" s="20" t="inlineStr">
        <is>
          <t>R38</t>
        </is>
      </c>
      <c r="C41" s="20" t="inlineStr">
        <is>
          <t>Distance to VWAP</t>
        </is>
      </c>
      <c r="D41" s="20" t="inlineStr">
        <is>
          <t>bps</t>
        </is>
      </c>
      <c r="E41" s="20" t="inlineStr">
        <is>
          <t>Current distance versus session VWAP</t>
        </is>
      </c>
      <c r="F41" s="20" t="inlineStr">
        <is>
          <t>derived from last price and VWAP</t>
        </is>
      </c>
      <c r="G41" s="20" t="inlineStr">
        <is>
          <t>Separates orderly anchoring from trend extension or disorder</t>
        </is>
      </c>
      <c r="H41" s="20" t="inlineStr">
        <is>
          <t>Signed value</t>
        </is>
      </c>
    </row>
    <row r="42">
      <c r="A42" s="20" t="inlineStr">
        <is>
          <t>Temporal Step1</t>
        </is>
      </c>
      <c r="B42" s="20" t="inlineStr">
        <is>
          <t>R39</t>
        </is>
      </c>
      <c r="C42" s="20" t="inlineStr">
        <is>
          <t>VWAP slope 5m</t>
        </is>
      </c>
      <c r="D42" s="20" t="inlineStr">
        <is>
          <t>bps / 5m</t>
        </is>
      </c>
      <c r="E42" s="20" t="inlineStr">
        <is>
          <t>Short-window VWAP trend direction</t>
        </is>
      </c>
      <c r="F42" s="20" t="inlineStr">
        <is>
          <t>derived from rolling VWAP window</t>
        </is>
      </c>
      <c r="G42" s="20" t="inlineStr">
        <is>
          <t>Helps distinguish trend persistence from magnet behaviour</t>
        </is>
      </c>
      <c r="H42" s="20" t="inlineStr">
        <is>
          <t>Signed value</t>
        </is>
      </c>
    </row>
    <row r="43">
      <c r="A43" s="20" t="inlineStr">
        <is>
          <t>Temporal Step1</t>
        </is>
      </c>
      <c r="B43" s="20" t="inlineStr">
        <is>
          <t>R40</t>
        </is>
      </c>
      <c r="C43" s="20" t="inlineStr">
        <is>
          <t>Opening-range high 5m</t>
        </is>
      </c>
      <c r="D43" s="20" t="inlineStr">
        <is>
          <t>price</t>
        </is>
      </c>
      <c r="E43" s="20" t="inlineStr">
        <is>
          <t>High of initial 5-minute opening range</t>
        </is>
      </c>
      <c r="F43" s="20" t="inlineStr">
        <is>
          <t>single-name market data</t>
        </is>
      </c>
      <c r="G43" s="20" t="inlineStr">
        <is>
          <t>Lets Step 1 detect continued discovery or breakout/reject behaviour</t>
        </is>
      </c>
      <c r="H43" s="20" t="inlineStr">
        <is>
          <t>Could also test 15m later</t>
        </is>
      </c>
    </row>
    <row r="44">
      <c r="A44" s="20" t="inlineStr">
        <is>
          <t>Temporal Step1</t>
        </is>
      </c>
      <c r="B44" s="20" t="inlineStr">
        <is>
          <t>R41</t>
        </is>
      </c>
      <c r="C44" s="20" t="inlineStr">
        <is>
          <t>Opening-range low 5m</t>
        </is>
      </c>
      <c r="D44" s="20" t="inlineStr">
        <is>
          <t>price</t>
        </is>
      </c>
      <c r="E44" s="20" t="inlineStr">
        <is>
          <t>Low of initial 5-minute opening range</t>
        </is>
      </c>
      <c r="F44" s="20" t="inlineStr">
        <is>
          <t>single-name market data</t>
        </is>
      </c>
      <c r="G44" s="20" t="inlineStr">
        <is>
          <t>Pairs with opening-range high to frame early tape structure</t>
        </is>
      </c>
      <c r="H44" s="20" t="inlineStr">
        <is>
          <t>Could also test 15m later</t>
        </is>
      </c>
    </row>
    <row r="45">
      <c r="A45" s="20" t="inlineStr">
        <is>
          <t>Temporal Step1</t>
        </is>
      </c>
      <c r="B45" s="20" t="inlineStr">
        <is>
          <t>R42</t>
        </is>
      </c>
      <c r="C45" s="20" t="inlineStr">
        <is>
          <t>Opening-range break count</t>
        </is>
      </c>
      <c r="D45" s="20" t="inlineStr">
        <is>
          <t>count</t>
        </is>
      </c>
      <c r="E45" s="20" t="inlineStr">
        <is>
          <t>How many times price has broken / re-broken the opening range</t>
        </is>
      </c>
      <c r="F45" s="20" t="inlineStr">
        <is>
          <t>derived from price path</t>
        </is>
      </c>
      <c r="G45" s="20" t="inlineStr">
        <is>
          <t>High count implies unresolved discovery rather than stable anchor</t>
        </is>
      </c>
      <c r="H45" s="20" t="inlineStr">
        <is>
          <t>Step 1 only; not a playbook output</t>
        </is>
      </c>
    </row>
    <row r="46">
      <c r="A46" s="20" t="inlineStr">
        <is>
          <t>Temporal Step1</t>
        </is>
      </c>
      <c r="B46" s="20" t="inlineStr">
        <is>
          <t>R43</t>
        </is>
      </c>
      <c r="C46" s="20" t="inlineStr">
        <is>
          <t>Rolling realised vol 5m</t>
        </is>
      </c>
      <c r="D46" s="20" t="inlineStr">
        <is>
          <t>bps</t>
        </is>
      </c>
      <c r="E46" s="20" t="inlineStr">
        <is>
          <t>Short-window realised volatility</t>
        </is>
      </c>
      <c r="F46" s="20" t="inlineStr">
        <is>
          <t>derived from 30-second returns</t>
        </is>
      </c>
      <c r="G46" s="20" t="inlineStr">
        <is>
          <t>Direct behavioural input for disorder vs compression</t>
        </is>
      </c>
      <c r="H46" s="20" t="inlineStr">
        <is>
          <t>Primitive volatility measure</t>
        </is>
      </c>
    </row>
    <row r="47">
      <c r="A47" s="20" t="inlineStr">
        <is>
          <t>Temporal Step1</t>
        </is>
      </c>
      <c r="B47" s="20" t="inlineStr">
        <is>
          <t>R44</t>
        </is>
      </c>
      <c r="C47" s="20" t="inlineStr">
        <is>
          <t>Rolling realised vol 15m</t>
        </is>
      </c>
      <c r="D47" s="20" t="inlineStr">
        <is>
          <t>bps</t>
        </is>
      </c>
      <c r="E47" s="20" t="inlineStr">
        <is>
          <t>Longer short-term realised volatility context</t>
        </is>
      </c>
      <c r="F47" s="20" t="inlineStr">
        <is>
          <t>derived from 30-second returns</t>
        </is>
      </c>
      <c r="G47" s="20" t="inlineStr">
        <is>
          <t>Separates transient spikes from persistent state</t>
        </is>
      </c>
      <c r="H47" s="20" t="inlineStr">
        <is>
          <t>Pairs with RV 5m</t>
        </is>
      </c>
    </row>
    <row r="48">
      <c r="A48" s="20" t="inlineStr">
        <is>
          <t>Temporal Step1</t>
        </is>
      </c>
      <c r="B48" s="20" t="inlineStr">
        <is>
          <t>R45</t>
        </is>
      </c>
      <c r="C48" s="20" t="inlineStr">
        <is>
          <t>Relative volume vs intraday curve</t>
        </is>
      </c>
      <c r="D48" s="20" t="inlineStr">
        <is>
          <t>ratio</t>
        </is>
      </c>
      <c r="E48" s="20" t="inlineStr">
        <is>
          <t>Observed participation versus normal time-of-day curve</t>
        </is>
      </c>
      <c r="F48" s="20" t="inlineStr">
        <is>
          <t>derived from historical intraday baseline</t>
        </is>
      </c>
      <c r="G48" s="20" t="inlineStr">
        <is>
          <t>Avoids hard-coding clock buckets as behaviour</t>
        </is>
      </c>
      <c r="H48" s="20" t="inlineStr">
        <is>
          <t>Needs historical baseline capture</t>
        </is>
      </c>
    </row>
    <row r="49">
      <c r="A49" s="20" t="inlineStr">
        <is>
          <t>Temporal Step1</t>
        </is>
      </c>
      <c r="B49" s="20" t="inlineStr">
        <is>
          <t>R46</t>
        </is>
      </c>
      <c r="C49" s="20" t="inlineStr">
        <is>
          <t>Rolling 5m range</t>
        </is>
      </c>
      <c r="D49" s="20" t="inlineStr">
        <is>
          <t>bps</t>
        </is>
      </c>
      <c r="E49" s="20" t="inlineStr">
        <is>
          <t>Current realised range over last 5 minutes</t>
        </is>
      </c>
      <c r="F49" s="20" t="inlineStr">
        <is>
          <t>derived from price path</t>
        </is>
      </c>
      <c r="G49" s="20" t="inlineStr">
        <is>
          <t>Compression versus expansion detector</t>
        </is>
      </c>
      <c r="H49" s="20" t="inlineStr">
        <is>
          <t>Primitive range measure</t>
        </is>
      </c>
    </row>
    <row r="50">
      <c r="A50" s="20" t="inlineStr">
        <is>
          <t>Temporal Step1</t>
        </is>
      </c>
      <c r="B50" s="20" t="inlineStr">
        <is>
          <t>R47</t>
        </is>
      </c>
      <c r="C50" s="20" t="inlineStr">
        <is>
          <t>Impulse age</t>
        </is>
      </c>
      <c r="D50" s="20" t="inlineStr">
        <is>
          <t>minutes</t>
        </is>
      </c>
      <c r="E50" s="20" t="inlineStr">
        <is>
          <t>Minutes since last meaningful impulse move</t>
        </is>
      </c>
      <c r="F50" s="20" t="inlineStr">
        <is>
          <t>derived from price path</t>
        </is>
      </c>
      <c r="G50" s="20" t="inlineStr">
        <is>
          <t>Helpful for anchor vs active trend persistence</t>
        </is>
      </c>
      <c r="H50" s="20" t="inlineStr">
        <is>
          <t>Simple proxy for calm vs active tape</t>
        </is>
      </c>
    </row>
    <row r="51">
      <c r="A51" s="20" t="inlineStr">
        <is>
          <t>Temporal Step1</t>
        </is>
      </c>
      <c r="B51" s="20" t="inlineStr">
        <is>
          <t>R48</t>
        </is>
      </c>
      <c r="C51" s="20" t="inlineStr">
        <is>
          <t>Next expiry timestamp</t>
        </is>
      </c>
      <c r="D51" s="20" t="inlineStr">
        <is>
          <t>datetime</t>
        </is>
      </c>
      <c r="E51" s="20" t="inlineStr">
        <is>
          <t>Nearest relevant listed-expiry anchor</t>
        </is>
      </c>
      <c r="F51" s="20" t="inlineStr">
        <is>
          <t>calendar / options calendar</t>
        </is>
      </c>
      <c r="G51" s="20" t="inlineStr">
        <is>
          <t>Needed for expiry-cycle state without pulling in options-flow outputs</t>
        </is>
      </c>
      <c r="H51" s="20" t="inlineStr">
        <is>
          <t>Calendar only</t>
        </is>
      </c>
    </row>
    <row r="52">
      <c r="A52" s="20" t="inlineStr">
        <is>
          <t>Temporal Step1</t>
        </is>
      </c>
      <c r="B52" s="20" t="inlineStr">
        <is>
          <t>R49</t>
        </is>
      </c>
      <c r="C52" s="20" t="inlineStr">
        <is>
          <t>Next event timestamp</t>
        </is>
      </c>
      <c r="D52" s="20" t="inlineStr">
        <is>
          <t>datetime</t>
        </is>
      </c>
      <c r="E52" s="20" t="inlineStr">
        <is>
          <t>Nearest known event/catalyst anchor</t>
        </is>
      </c>
      <c r="F52" s="20" t="inlineStr">
        <is>
          <t>calendar / event schedule</t>
        </is>
      </c>
      <c r="G52" s="20" t="inlineStr">
        <is>
          <t>Needed for event-window state without using later regime logic</t>
        </is>
      </c>
      <c r="H52" s="20" t="inlineStr">
        <is>
          <t>Calendar only</t>
        </is>
      </c>
    </row>
    <row r="53">
      <c r="A53" s="20" t="inlineStr">
        <is>
          <t>Temporal Step1</t>
        </is>
      </c>
      <c r="B53" s="20" t="inlineStr">
        <is>
          <t>R50</t>
        </is>
      </c>
      <c r="C53" s="20" t="inlineStr">
        <is>
          <t>Bid-ask spread</t>
        </is>
      </c>
      <c r="D53" s="20" t="inlineStr">
        <is>
          <t>bps</t>
        </is>
      </c>
      <c r="E53" s="20" t="inlineStr">
        <is>
          <t>Current spread / liquidity cost proxy</t>
        </is>
      </c>
      <c r="F53" s="20" t="inlineStr">
        <is>
          <t>quote data</t>
        </is>
      </c>
      <c r="G53" s="20" t="inlineStr">
        <is>
          <t>Optional but useful for disorder and close-stress detection</t>
        </is>
      </c>
      <c r="H53" s="20" t="inlineStr">
        <is>
          <t>Optional v2 field</t>
        </is>
      </c>
    </row>
    <row r="54">
      <c r="A54" s="20" t="inlineStr">
        <is>
          <t>Temporal Step1</t>
        </is>
      </c>
      <c r="B54" s="20" t="inlineStr">
        <is>
          <t>R51</t>
        </is>
      </c>
      <c r="C54" s="20" t="inlineStr">
        <is>
          <t>Trade count</t>
        </is>
      </c>
      <c r="D54" s="20" t="inlineStr">
        <is>
          <t>count / 30s</t>
        </is>
      </c>
      <c r="E54" s="20" t="inlineStr">
        <is>
          <t>Number of prints in current bucket</t>
        </is>
      </c>
      <c r="F54" s="20" t="inlineStr">
        <is>
          <t>trade tape</t>
        </is>
      </c>
      <c r="G54" s="20" t="inlineStr">
        <is>
          <t>Optional participation-quality input</t>
        </is>
      </c>
      <c r="H54" s="20" t="inlineStr">
        <is>
          <t>Optional v2 field</t>
        </is>
      </c>
    </row>
    <row r="55">
      <c r="A55" s="20" t="inlineStr">
        <is>
          <t>Temporal Step1</t>
        </is>
      </c>
      <c r="B55" s="20" t="inlineStr">
        <is>
          <t>R52</t>
        </is>
      </c>
      <c r="C55" s="20" t="inlineStr">
        <is>
          <t>Close imbalance proxy</t>
        </is>
      </c>
      <c r="D55" s="20" t="inlineStr">
        <is>
          <t>signed ratio</t>
        </is>
      </c>
      <c r="E55" s="20" t="inlineStr">
        <is>
          <t>Late-session auction / imbalance pressure proxy</t>
        </is>
      </c>
      <c r="F55" s="20" t="inlineStr">
        <is>
          <t>auction / imbalance feed</t>
        </is>
      </c>
      <c r="G55" s="20" t="inlineStr">
        <is>
          <t>Optional close-window refinement</t>
        </is>
      </c>
      <c r="H55" s="20" t="inlineStr">
        <is>
          <t>Optional v2 field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2" customWidth="1" min="28" max="28"/>
    <col width="10" customWidth="1" min="29" max="29"/>
  </cols>
  <sheetData>
    <row r="1">
      <c r="A1" s="1" t="inlineStr">
        <is>
          <t>Anchor Data (Web-Seeded + Synthetic Expansion)</t>
        </is>
      </c>
    </row>
    <row r="2">
      <c r="A2" s="22" t="inlineStr">
        <is>
          <t>March 2026 live web baseline blended into the anchor surface. Unresolved options-chain / breadth internals remain synthetic placeholders for now.</t>
        </is>
      </c>
      <c r="B2" t="n"/>
    </row>
    <row r="4">
      <c r="A4" s="15" t="inlineStr">
        <is>
          <t>Date</t>
        </is>
      </c>
      <c r="B4" s="15" t="inlineStr">
        <is>
          <t>NVDA_Close</t>
        </is>
      </c>
      <c r="C4" s="15" t="inlineStr">
        <is>
          <t>NVDA_High</t>
        </is>
      </c>
      <c r="D4" s="15" t="inlineStr">
        <is>
          <t>NVDA_Low</t>
        </is>
      </c>
      <c r="E4" s="15" t="inlineStr">
        <is>
          <t>NVDA_Volume_M</t>
        </is>
      </c>
      <c r="F4" s="15" t="inlineStr">
        <is>
          <t>ES</t>
        </is>
      </c>
      <c r="G4" s="15" t="inlineStr">
        <is>
          <t>NQ</t>
        </is>
      </c>
      <c r="H4" s="15" t="inlineStr">
        <is>
          <t>XLK</t>
        </is>
      </c>
      <c r="I4" s="15" t="inlineStr">
        <is>
          <t>SOX</t>
        </is>
      </c>
      <c r="J4" s="15" t="inlineStr">
        <is>
          <t>NKY</t>
        </is>
      </c>
      <c r="K4" s="15" t="inlineStr">
        <is>
          <t>HSI</t>
        </is>
      </c>
      <c r="L4" s="15" t="inlineStr">
        <is>
          <t>HSTECH</t>
        </is>
      </c>
      <c r="M4" s="15" t="inlineStr">
        <is>
          <t>VIX</t>
        </is>
      </c>
      <c r="N4" s="15" t="inlineStr">
        <is>
          <t>VVIX</t>
        </is>
      </c>
      <c r="O4" s="15" t="inlineStr">
        <is>
          <t>VIX9D</t>
        </is>
      </c>
      <c r="P4" s="15" t="inlineStr">
        <is>
          <t>SKEW</t>
        </is>
      </c>
      <c r="Q4" s="15" t="inlineStr">
        <is>
          <t>US10Y_bp</t>
        </is>
      </c>
      <c r="R4" s="15" t="inlineStr">
        <is>
          <t>US2Y_bp</t>
        </is>
      </c>
      <c r="S4" s="15" t="inlineStr">
        <is>
          <t>USDJPY</t>
        </is>
      </c>
      <c r="T4" s="15" t="inlineStr">
        <is>
          <t>SPX_Breadth</t>
        </is>
      </c>
      <c r="U4" s="15" t="inlineStr">
        <is>
          <t>NDX_Breadth</t>
        </is>
      </c>
      <c r="V4" s="15" t="inlineStr">
        <is>
          <t>SOX_Breadth</t>
        </is>
      </c>
      <c r="W4" s="15" t="inlineStr">
        <is>
          <t>Dealer_Gamma</t>
        </is>
      </c>
      <c r="X4" s="15" t="inlineStr">
        <is>
          <t>Gamma_Conc</t>
        </is>
      </c>
      <c r="Y4" s="15" t="inlineStr">
        <is>
          <t>ATM_IV</t>
        </is>
      </c>
      <c r="Z4" s="15" t="inlineStr">
        <is>
          <t>Term_Slope</t>
        </is>
      </c>
      <c r="AA4" s="15" t="inlineStr">
        <is>
          <t>Skew_Slope</t>
        </is>
      </c>
      <c r="AB4" s="15" t="inlineStr">
        <is>
          <t>CallPut_Imbal</t>
        </is>
      </c>
      <c r="AC4" s="15" t="inlineStr">
        <is>
          <t>OI_Conc</t>
        </is>
      </c>
      <c r="AD4" s="15" t="inlineStr">
        <is>
          <t>RV20d</t>
        </is>
      </c>
      <c r="AE4" s="15" t="inlineStr">
        <is>
          <t>Event_Flag</t>
        </is>
      </c>
    </row>
    <row r="5">
      <c r="A5" s="43" t="n">
        <v>46023</v>
      </c>
      <c r="B5" s="44" t="n">
        <v>188.726087</v>
      </c>
      <c r="C5" s="44" t="n">
        <v>198.383043</v>
      </c>
      <c r="D5" s="44" t="n">
        <v>174.361884</v>
      </c>
      <c r="E5" s="25" t="n">
        <v>900</v>
      </c>
      <c r="F5" s="18" t="n">
        <v>6513.264651</v>
      </c>
      <c r="G5" s="18" t="n">
        <v>23869.73365</v>
      </c>
      <c r="H5" s="18" t="n">
        <v>141.780288</v>
      </c>
      <c r="I5" s="18" t="n">
        <v>8001.573626</v>
      </c>
      <c r="J5" s="18" t="n">
        <v>54863.656109</v>
      </c>
      <c r="K5" s="18" t="n">
        <v>25733.689928</v>
      </c>
      <c r="L5" s="18" t="n">
        <v>4854.821829</v>
      </c>
      <c r="M5" s="44" t="n">
        <v>21.313011</v>
      </c>
      <c r="N5" s="44" t="n">
        <v>121.534615</v>
      </c>
      <c r="O5" s="44" t="n">
        <v>18.966458</v>
      </c>
      <c r="P5" s="18" t="n">
        <v>147.146944</v>
      </c>
      <c r="Q5" s="25" t="n">
        <v>431.085919</v>
      </c>
      <c r="R5" s="25" t="n">
        <v>382.780549</v>
      </c>
      <c r="S5" s="44" t="n">
        <v>160.417799</v>
      </c>
      <c r="T5" s="45" t="n">
        <v>0.53</v>
      </c>
      <c r="U5" s="45" t="n">
        <v>0.55</v>
      </c>
      <c r="V5" s="45" t="n">
        <v>0.57</v>
      </c>
      <c r="W5" s="19" t="n">
        <v>0.15</v>
      </c>
      <c r="X5" s="19" t="n">
        <v>0.42</v>
      </c>
      <c r="Y5" s="19" t="n">
        <v>0.42</v>
      </c>
      <c r="Z5" s="19" t="n">
        <v>0.03</v>
      </c>
      <c r="AA5" s="19" t="n">
        <v>0.11</v>
      </c>
      <c r="AB5" s="19" t="n">
        <v>0.08</v>
      </c>
      <c r="AC5" s="19" t="n">
        <v>0.47</v>
      </c>
      <c r="AD5" s="19" t="n">
        <v>0.38</v>
      </c>
      <c r="AE5" s="18" t="n">
        <v>0</v>
      </c>
    </row>
    <row r="6">
      <c r="A6" s="43" t="n">
        <v>46054</v>
      </c>
      <c r="B6" s="44" t="n">
        <v>195.466304</v>
      </c>
      <c r="C6" s="44" t="n">
        <v>205.468152</v>
      </c>
      <c r="D6" s="44" t="n">
        <v>180.589094</v>
      </c>
      <c r="E6" s="25" t="n">
        <v>935</v>
      </c>
      <c r="F6" s="18" t="n">
        <v>6594.680459</v>
      </c>
      <c r="G6" s="18" t="n">
        <v>24367.019768</v>
      </c>
      <c r="H6" s="18" t="n">
        <v>143.130577</v>
      </c>
      <c r="I6" s="18" t="n">
        <v>8140.731429</v>
      </c>
      <c r="J6" s="18" t="n">
        <v>55520.705882</v>
      </c>
      <c r="K6" s="18" t="n">
        <v>25993.31766</v>
      </c>
      <c r="L6" s="18" t="n">
        <v>4935.248095</v>
      </c>
      <c r="M6" s="44" t="n">
        <v>21.852581</v>
      </c>
      <c r="N6" s="44" t="n">
        <v>124.235385</v>
      </c>
      <c r="O6" s="44" t="n">
        <v>19.602917</v>
      </c>
      <c r="P6" s="18" t="n">
        <v>148.205556</v>
      </c>
      <c r="Q6" s="25" t="n">
        <v>434.128878</v>
      </c>
      <c r="R6" s="25" t="n">
        <v>385.61596</v>
      </c>
      <c r="S6" s="44" t="n">
        <v>161.295598</v>
      </c>
      <c r="T6" s="45" t="n">
        <v>0.5600000000000001</v>
      </c>
      <c r="U6" s="45" t="n">
        <v>0.58</v>
      </c>
      <c r="V6" s="45" t="n">
        <v>0.59</v>
      </c>
      <c r="W6" s="19" t="n">
        <v>0.1</v>
      </c>
      <c r="X6" s="19" t="n">
        <v>0.44</v>
      </c>
      <c r="Y6" s="19" t="n">
        <v>0.4</v>
      </c>
      <c r="Z6" s="19" t="n">
        <v>0.02</v>
      </c>
      <c r="AA6" s="19" t="n">
        <v>0.1</v>
      </c>
      <c r="AB6" s="19" t="n">
        <v>0.06</v>
      </c>
      <c r="AC6" s="19" t="n">
        <v>0.48</v>
      </c>
      <c r="AD6" s="19" t="n">
        <v>0.36</v>
      </c>
      <c r="AE6" s="18" t="n">
        <v>0</v>
      </c>
    </row>
    <row r="7">
      <c r="A7" s="54" t="n">
        <v>46082</v>
      </c>
      <c r="B7" s="55" t="n">
        <v>186.03</v>
      </c>
      <c r="C7" s="55" t="n">
        <v>195.549</v>
      </c>
      <c r="D7" s="55" t="n">
        <v>171.871</v>
      </c>
      <c r="E7" s="56" t="n">
        <v>970</v>
      </c>
      <c r="F7" s="57" t="n">
        <v>6506.48</v>
      </c>
      <c r="G7" s="57" t="n">
        <v>23898.15</v>
      </c>
      <c r="H7" s="57" t="n">
        <v>140.43</v>
      </c>
      <c r="I7" s="57" t="n">
        <v>7914.6</v>
      </c>
      <c r="J7" s="57" t="n">
        <v>54453</v>
      </c>
      <c r="K7" s="57" t="n">
        <v>25321.34</v>
      </c>
      <c r="L7" s="57" t="n">
        <v>4796.33</v>
      </c>
      <c r="M7" s="55" t="n">
        <v>25.09</v>
      </c>
      <c r="N7" s="55" t="n">
        <v>140.44</v>
      </c>
      <c r="O7" s="55" t="n">
        <v>24.44</v>
      </c>
      <c r="P7" s="57" t="n">
        <v>152.44</v>
      </c>
      <c r="Q7" s="56" t="n">
        <v>425</v>
      </c>
      <c r="R7" s="56" t="n">
        <v>379</v>
      </c>
      <c r="S7" s="55" t="n">
        <v>159.54</v>
      </c>
      <c r="T7" s="58" t="n">
        <v>0.44</v>
      </c>
      <c r="U7" s="58" t="n">
        <v>0.42</v>
      </c>
      <c r="V7" s="58" t="n">
        <v>0.4</v>
      </c>
      <c r="W7" s="59" t="n">
        <v>-0.35</v>
      </c>
      <c r="X7" s="59" t="n">
        <v>0.39</v>
      </c>
      <c r="Y7" s="59" t="n">
        <v>0.46</v>
      </c>
      <c r="Z7" s="59" t="n">
        <v>0.06</v>
      </c>
      <c r="AA7" s="59" t="n">
        <v>0.15</v>
      </c>
      <c r="AB7" s="59" t="n">
        <v>-0.14</v>
      </c>
      <c r="AC7" s="59" t="n">
        <v>0.45</v>
      </c>
      <c r="AD7" s="59" t="n">
        <v>0.43</v>
      </c>
      <c r="AE7" s="57" t="n">
        <v>1</v>
      </c>
    </row>
    <row r="8">
      <c r="A8" s="43" t="n">
        <v>46113</v>
      </c>
      <c r="B8" s="44" t="n">
        <v>199.510435</v>
      </c>
      <c r="C8" s="44" t="n">
        <v>209.719217</v>
      </c>
      <c r="D8" s="44" t="n">
        <v>184.32542</v>
      </c>
      <c r="E8" s="25" t="n">
        <v>1005</v>
      </c>
      <c r="F8" s="18" t="n">
        <v>6662.526966</v>
      </c>
      <c r="G8" s="18" t="n">
        <v>24921.138585</v>
      </c>
      <c r="H8" s="18" t="n">
        <v>145.831154</v>
      </c>
      <c r="I8" s="18" t="n">
        <v>8332.073407</v>
      </c>
      <c r="J8" s="18" t="n">
        <v>56670.542986</v>
      </c>
      <c r="K8" s="18" t="n">
        <v>26176.584294</v>
      </c>
      <c r="L8" s="18" t="n">
        <v>4986.428445</v>
      </c>
      <c r="M8" s="44" t="n">
        <v>23.066613</v>
      </c>
      <c r="N8" s="44" t="n">
        <v>130.987308</v>
      </c>
      <c r="O8" s="44" t="n">
        <v>21.385</v>
      </c>
      <c r="P8" s="18" t="n">
        <v>150.322778</v>
      </c>
      <c r="Q8" s="25" t="n">
        <v>439.200477</v>
      </c>
      <c r="R8" s="25" t="n">
        <v>389.396509</v>
      </c>
      <c r="S8" s="44" t="n">
        <v>162.502572</v>
      </c>
      <c r="T8" s="45" t="n">
        <v>0.58</v>
      </c>
      <c r="U8" s="45" t="n">
        <v>0.6</v>
      </c>
      <c r="V8" s="45" t="n">
        <v>0.62</v>
      </c>
      <c r="W8" s="19" t="n">
        <v>-0.05</v>
      </c>
      <c r="X8" s="19" t="n">
        <v>0.46</v>
      </c>
      <c r="Y8" s="19" t="n">
        <v>0.43</v>
      </c>
      <c r="Z8" s="19" t="n">
        <v>0.04</v>
      </c>
      <c r="AA8" s="19" t="n">
        <v>0.13</v>
      </c>
      <c r="AB8" s="19" t="n">
        <v>0.02</v>
      </c>
      <c r="AC8" s="19" t="n">
        <v>0.5</v>
      </c>
      <c r="AD8" s="19" t="n">
        <v>0.4</v>
      </c>
      <c r="AE8" s="18" t="n">
        <v>0</v>
      </c>
    </row>
    <row r="9">
      <c r="A9" s="43" t="n">
        <v>46143</v>
      </c>
      <c r="B9" s="44" t="n">
        <v>207.598696</v>
      </c>
      <c r="C9" s="44" t="n">
        <v>218.221348</v>
      </c>
      <c r="D9" s="44" t="n">
        <v>191.798072</v>
      </c>
      <c r="E9" s="25" t="n">
        <v>1040</v>
      </c>
      <c r="F9" s="18" t="n">
        <v>6791.435328</v>
      </c>
      <c r="G9" s="18" t="n">
        <v>25588.9228</v>
      </c>
      <c r="H9" s="18" t="n">
        <v>148.531731</v>
      </c>
      <c r="I9" s="18" t="n">
        <v>8506.020659</v>
      </c>
      <c r="J9" s="18" t="n">
        <v>57656.117647</v>
      </c>
      <c r="K9" s="18" t="n">
        <v>26588.934222</v>
      </c>
      <c r="L9" s="18" t="n">
        <v>5074.166189</v>
      </c>
      <c r="M9" s="44" t="n">
        <v>22.122366</v>
      </c>
      <c r="N9" s="44" t="n">
        <v>128.286538</v>
      </c>
      <c r="O9" s="44" t="n">
        <v>20.239375</v>
      </c>
      <c r="P9" s="18" t="n">
        <v>149.264167</v>
      </c>
      <c r="Q9" s="25" t="n">
        <v>445.286396</v>
      </c>
      <c r="R9" s="25" t="n">
        <v>394.122195</v>
      </c>
      <c r="S9" s="44" t="n">
        <v>163.819271</v>
      </c>
      <c r="T9" s="45" t="n">
        <v>0.6</v>
      </c>
      <c r="U9" s="45" t="n">
        <v>0.63</v>
      </c>
      <c r="V9" s="45" t="n">
        <v>0.65</v>
      </c>
      <c r="W9" s="19" t="n">
        <v>0.05</v>
      </c>
      <c r="X9" s="19" t="n">
        <v>0.49</v>
      </c>
      <c r="Y9" s="19" t="n">
        <v>0.41</v>
      </c>
      <c r="Z9" s="19" t="n">
        <v>0.03</v>
      </c>
      <c r="AA9" s="19" t="n">
        <v>0.12</v>
      </c>
      <c r="AB9" s="19" t="n">
        <v>0.05</v>
      </c>
      <c r="AC9" s="19" t="n">
        <v>0.52</v>
      </c>
      <c r="AD9" s="19" t="n">
        <v>0.39</v>
      </c>
      <c r="AE9" s="18" t="n">
        <v>0</v>
      </c>
    </row>
    <row r="10">
      <c r="A10" s="43" t="n">
        <v>46174</v>
      </c>
      <c r="B10" s="44" t="n">
        <v>215.686957</v>
      </c>
      <c r="C10" s="44" t="n">
        <v>226.723478</v>
      </c>
      <c r="D10" s="44" t="n">
        <v>199.270725</v>
      </c>
      <c r="E10" s="25" t="n">
        <v>1075</v>
      </c>
      <c r="F10" s="18" t="n">
        <v>6886.420438</v>
      </c>
      <c r="G10" s="18" t="n">
        <v>26086.208918</v>
      </c>
      <c r="H10" s="18" t="n">
        <v>151.232308</v>
      </c>
      <c r="I10" s="18" t="n">
        <v>8662.573187</v>
      </c>
      <c r="J10" s="18" t="n">
        <v>58559.561086</v>
      </c>
      <c r="K10" s="18" t="n">
        <v>26909.650832</v>
      </c>
      <c r="L10" s="18" t="n">
        <v>5147.280976</v>
      </c>
      <c r="M10" s="44" t="n">
        <v>21.178118</v>
      </c>
      <c r="N10" s="44" t="n">
        <v>122.885</v>
      </c>
      <c r="O10" s="44" t="n">
        <v>19.221042</v>
      </c>
      <c r="P10" s="18" t="n">
        <v>147.146944</v>
      </c>
      <c r="Q10" s="25" t="n">
        <v>448.329356</v>
      </c>
      <c r="R10" s="25" t="n">
        <v>396.012469</v>
      </c>
      <c r="S10" s="44" t="n">
        <v>164.587345</v>
      </c>
      <c r="T10" s="45" t="n">
        <v>0.61</v>
      </c>
      <c r="U10" s="45" t="n">
        <v>0.64</v>
      </c>
      <c r="V10" s="45" t="n">
        <v>0.66</v>
      </c>
      <c r="W10" s="19" t="n">
        <v>0.1</v>
      </c>
      <c r="X10" s="19" t="n">
        <v>0.51</v>
      </c>
      <c r="Y10" s="19" t="n">
        <v>0.39</v>
      </c>
      <c r="Z10" s="19" t="n">
        <v>0.02</v>
      </c>
      <c r="AA10" s="19" t="n">
        <v>0.11</v>
      </c>
      <c r="AB10" s="19" t="n">
        <v>0.08</v>
      </c>
      <c r="AC10" s="19" t="n">
        <v>0.53</v>
      </c>
      <c r="AD10" s="19" t="n">
        <v>0.37</v>
      </c>
      <c r="AE10" s="18" t="n">
        <v>0</v>
      </c>
    </row>
    <row r="11">
      <c r="A11" s="43" t="n">
        <v>46204</v>
      </c>
      <c r="B11" s="44" t="n">
        <v>223.775217</v>
      </c>
      <c r="C11" s="44" t="n">
        <v>235.225609</v>
      </c>
      <c r="D11" s="44" t="n">
        <v>206.743377</v>
      </c>
      <c r="E11" s="25" t="n">
        <v>1110</v>
      </c>
      <c r="F11" s="18" t="n">
        <v>6988.190198</v>
      </c>
      <c r="G11" s="18" t="n">
        <v>26682.952259</v>
      </c>
      <c r="H11" s="18" t="n">
        <v>153.932885</v>
      </c>
      <c r="I11" s="18" t="n">
        <v>8906.099340999999</v>
      </c>
      <c r="J11" s="18" t="n">
        <v>59463.004525</v>
      </c>
      <c r="K11" s="18" t="n">
        <v>27337.272979</v>
      </c>
      <c r="L11" s="18" t="n">
        <v>5264.264634</v>
      </c>
      <c r="M11" s="44" t="n">
        <v>20.503656</v>
      </c>
      <c r="N11" s="44" t="n">
        <v>120.184231</v>
      </c>
      <c r="O11" s="44" t="n">
        <v>18.457292</v>
      </c>
      <c r="P11" s="18" t="n">
        <v>146.088333</v>
      </c>
      <c r="Q11" s="25" t="n">
        <v>451.372315</v>
      </c>
      <c r="R11" s="25" t="n">
        <v>397.902743</v>
      </c>
      <c r="S11" s="44" t="n">
        <v>165.904044</v>
      </c>
      <c r="T11" s="45" t="n">
        <v>0.63</v>
      </c>
      <c r="U11" s="45" t="n">
        <v>0.67</v>
      </c>
      <c r="V11" s="45" t="n">
        <v>0.6899999999999999</v>
      </c>
      <c r="W11" s="19" t="n">
        <v>0.18</v>
      </c>
      <c r="X11" s="19" t="n">
        <v>0.54</v>
      </c>
      <c r="Y11" s="19" t="n">
        <v>0.38</v>
      </c>
      <c r="Z11" s="19" t="n">
        <v>0.01</v>
      </c>
      <c r="AA11" s="19" t="n">
        <v>0.1</v>
      </c>
      <c r="AB11" s="19" t="n">
        <v>0.12</v>
      </c>
      <c r="AC11" s="19" t="n">
        <v>0.55</v>
      </c>
      <c r="AD11" s="19" t="n">
        <v>0.35</v>
      </c>
      <c r="AE11" s="18" t="n">
        <v>0</v>
      </c>
    </row>
    <row r="12">
      <c r="A12" s="43" t="n">
        <v>46235</v>
      </c>
      <c r="B12" s="44" t="n">
        <v>230.515435</v>
      </c>
      <c r="C12" s="44" t="n">
        <v>242.310717</v>
      </c>
      <c r="D12" s="44" t="n">
        <v>212.970587</v>
      </c>
      <c r="E12" s="25" t="n">
        <v>1145</v>
      </c>
      <c r="F12" s="18" t="n">
        <v>7049.252054</v>
      </c>
      <c r="G12" s="18" t="n">
        <v>27052.364804</v>
      </c>
      <c r="H12" s="18" t="n">
        <v>155.958317</v>
      </c>
      <c r="I12" s="18" t="n">
        <v>9062.651868000001</v>
      </c>
      <c r="J12" s="18" t="n">
        <v>60120.054299</v>
      </c>
      <c r="K12" s="18" t="n">
        <v>27673.261809</v>
      </c>
      <c r="L12" s="18" t="n">
        <v>5344.690899</v>
      </c>
      <c r="M12" s="44" t="n">
        <v>20.098978</v>
      </c>
      <c r="N12" s="44" t="n">
        <v>118.833846</v>
      </c>
      <c r="O12" s="44" t="n">
        <v>18.075417</v>
      </c>
      <c r="P12" s="18" t="n">
        <v>145.029722</v>
      </c>
      <c r="Q12" s="25" t="n">
        <v>453.400955</v>
      </c>
      <c r="R12" s="25" t="n">
        <v>399.793017</v>
      </c>
      <c r="S12" s="44" t="n">
        <v>166.562393</v>
      </c>
      <c r="T12" s="45" t="n">
        <v>0.64</v>
      </c>
      <c r="U12" s="45" t="n">
        <v>0.68</v>
      </c>
      <c r="V12" s="45" t="n">
        <v>0.7</v>
      </c>
      <c r="W12" s="19" t="n">
        <v>0.2</v>
      </c>
      <c r="X12" s="19" t="n">
        <v>0.5600000000000001</v>
      </c>
      <c r="Y12" s="19" t="n">
        <v>0.37</v>
      </c>
      <c r="Z12" s="19" t="n">
        <v>0.01</v>
      </c>
      <c r="AA12" s="19" t="n">
        <v>0.1</v>
      </c>
      <c r="AB12" s="19" t="n">
        <v>0.14</v>
      </c>
      <c r="AC12" s="19" t="n">
        <v>0.57</v>
      </c>
      <c r="AD12" s="19" t="n">
        <v>0.34</v>
      </c>
      <c r="AE12" s="18" t="n">
        <v>0</v>
      </c>
    </row>
    <row r="13">
      <c r="A13" s="43" t="n">
        <v>46266</v>
      </c>
      <c r="B13" s="44" t="n">
        <v>226.471304</v>
      </c>
      <c r="C13" s="44" t="n">
        <v>238.059652</v>
      </c>
      <c r="D13" s="44" t="n">
        <v>209.234261</v>
      </c>
      <c r="E13" s="25" t="n">
        <v>1180</v>
      </c>
      <c r="F13" s="18" t="n">
        <v>6974.620897</v>
      </c>
      <c r="G13" s="18" t="n">
        <v>26597.70321</v>
      </c>
      <c r="H13" s="18" t="n">
        <v>154.608029</v>
      </c>
      <c r="I13" s="18" t="n">
        <v>8975.678242</v>
      </c>
      <c r="J13" s="18" t="n">
        <v>59052.348416</v>
      </c>
      <c r="K13" s="18" t="n">
        <v>27108.189686</v>
      </c>
      <c r="L13" s="18" t="n">
        <v>5235.01872</v>
      </c>
      <c r="M13" s="44" t="n">
        <v>22.661935</v>
      </c>
      <c r="N13" s="44" t="n">
        <v>129.636923</v>
      </c>
      <c r="O13" s="44" t="n">
        <v>22.785208</v>
      </c>
      <c r="P13" s="18" t="n">
        <v>149.264167</v>
      </c>
      <c r="Q13" s="25" t="n">
        <v>446.300716</v>
      </c>
      <c r="R13" s="25" t="n">
        <v>395.067332</v>
      </c>
      <c r="S13" s="44" t="n">
        <v>165.026245</v>
      </c>
      <c r="T13" s="45" t="n">
        <v>0.51</v>
      </c>
      <c r="U13" s="45" t="n">
        <v>0.52</v>
      </c>
      <c r="V13" s="45" t="n">
        <v>0.54</v>
      </c>
      <c r="W13" s="19" t="n">
        <v>-0.1</v>
      </c>
      <c r="X13" s="19" t="n">
        <v>0.48</v>
      </c>
      <c r="Y13" s="19" t="n">
        <v>0.41</v>
      </c>
      <c r="Z13" s="19" t="n">
        <v>0.04</v>
      </c>
      <c r="AA13" s="19" t="n">
        <v>0.12</v>
      </c>
      <c r="AB13" s="19" t="n">
        <v>0</v>
      </c>
      <c r="AC13" s="19" t="n">
        <v>0.51</v>
      </c>
      <c r="AD13" s="19" t="n">
        <v>0.38</v>
      </c>
      <c r="AE13" s="18" t="n">
        <v>1</v>
      </c>
    </row>
    <row r="14">
      <c r="A14" s="43" t="n">
        <v>46296</v>
      </c>
      <c r="B14" s="44" t="n">
        <v>237.255652</v>
      </c>
      <c r="C14" s="44" t="n">
        <v>249.395826</v>
      </c>
      <c r="D14" s="44" t="n">
        <v>219.197797</v>
      </c>
      <c r="E14" s="25" t="n">
        <v>1215</v>
      </c>
      <c r="F14" s="18" t="n">
        <v>7110.31391</v>
      </c>
      <c r="G14" s="18" t="n">
        <v>27308.11195</v>
      </c>
      <c r="H14" s="18" t="n">
        <v>157.98375</v>
      </c>
      <c r="I14" s="18" t="n">
        <v>9184.414945</v>
      </c>
      <c r="J14" s="18" t="n">
        <v>60777.104072</v>
      </c>
      <c r="K14" s="18" t="n">
        <v>28039.795078</v>
      </c>
      <c r="L14" s="18" t="n">
        <v>5425.117165</v>
      </c>
      <c r="M14" s="44" t="n">
        <v>21.447903</v>
      </c>
      <c r="N14" s="44" t="n">
        <v>124.235385</v>
      </c>
      <c r="O14" s="44" t="n">
        <v>19.8575</v>
      </c>
      <c r="P14" s="18" t="n">
        <v>147.146944</v>
      </c>
      <c r="Q14" s="25" t="n">
        <v>457.458234</v>
      </c>
      <c r="R14" s="25" t="n">
        <v>402.628429</v>
      </c>
      <c r="S14" s="44" t="n">
        <v>166.891568</v>
      </c>
      <c r="T14" s="45" t="n">
        <v>0.62</v>
      </c>
      <c r="U14" s="45" t="n">
        <v>0.66</v>
      </c>
      <c r="V14" s="45" t="n">
        <v>0.68</v>
      </c>
      <c r="W14" s="19" t="n">
        <v>0.12</v>
      </c>
      <c r="X14" s="19" t="n">
        <v>0.58</v>
      </c>
      <c r="Y14" s="19" t="n">
        <v>0.39</v>
      </c>
      <c r="Z14" s="19" t="n">
        <v>0.02</v>
      </c>
      <c r="AA14" s="19" t="n">
        <v>0.11</v>
      </c>
      <c r="AB14" s="19" t="n">
        <v>0.1</v>
      </c>
      <c r="AC14" s="19" t="n">
        <v>0.58</v>
      </c>
      <c r="AD14" s="19" t="n">
        <v>0.36</v>
      </c>
      <c r="AE14" s="18" t="n">
        <v>0</v>
      </c>
    </row>
    <row r="15">
      <c r="A15" s="43" t="n">
        <v>46327</v>
      </c>
      <c r="B15" s="44" t="n">
        <v>248.04</v>
      </c>
      <c r="C15" s="44" t="n">
        <v>260.732</v>
      </c>
      <c r="D15" s="44" t="n">
        <v>229.161333</v>
      </c>
      <c r="E15" s="25" t="n">
        <v>1250</v>
      </c>
      <c r="F15" s="18" t="n">
        <v>7205.29902</v>
      </c>
      <c r="G15" s="18" t="n">
        <v>27904.855291</v>
      </c>
      <c r="H15" s="18" t="n">
        <v>160.684327</v>
      </c>
      <c r="I15" s="18" t="n">
        <v>9393.151647999999</v>
      </c>
      <c r="J15" s="18" t="n">
        <v>61844.809955</v>
      </c>
      <c r="K15" s="18" t="n">
        <v>28467.417226</v>
      </c>
      <c r="L15" s="18" t="n">
        <v>5527.477866</v>
      </c>
      <c r="M15" s="44" t="n">
        <v>20.368763</v>
      </c>
      <c r="N15" s="44" t="n">
        <v>121.534615</v>
      </c>
      <c r="O15" s="44" t="n">
        <v>18.839167</v>
      </c>
      <c r="P15" s="18" t="n">
        <v>146.088333</v>
      </c>
      <c r="Q15" s="25" t="n">
        <v>461.515513</v>
      </c>
      <c r="R15" s="25" t="n">
        <v>405.46384</v>
      </c>
      <c r="S15" s="44" t="n">
        <v>167.879092</v>
      </c>
      <c r="T15" s="45" t="n">
        <v>0.64</v>
      </c>
      <c r="U15" s="45" t="n">
        <v>0.68</v>
      </c>
      <c r="V15" s="45" t="n">
        <v>0.7</v>
      </c>
      <c r="W15" s="19" t="n">
        <v>0.18</v>
      </c>
      <c r="X15" s="19" t="n">
        <v>0.6</v>
      </c>
      <c r="Y15" s="19" t="n">
        <v>0.38</v>
      </c>
      <c r="Z15" s="19" t="n">
        <v>0.01</v>
      </c>
      <c r="AA15" s="19" t="n">
        <v>0.1</v>
      </c>
      <c r="AB15" s="19" t="n">
        <v>0.12</v>
      </c>
      <c r="AC15" s="19" t="n">
        <v>0.6</v>
      </c>
      <c r="AD15" s="19" t="n">
        <v>0.35</v>
      </c>
      <c r="AE15" s="18" t="n">
        <v>0</v>
      </c>
    </row>
    <row r="16">
      <c r="A16" s="43" t="n">
        <v>46357</v>
      </c>
      <c r="B16" s="44" t="n">
        <v>256.128261</v>
      </c>
      <c r="C16" s="44" t="n">
        <v>269.23413</v>
      </c>
      <c r="D16" s="44" t="n">
        <v>236.633986</v>
      </c>
      <c r="E16" s="25" t="n">
        <v>1285</v>
      </c>
      <c r="F16" s="18" t="n">
        <v>7300.284129</v>
      </c>
      <c r="G16" s="18" t="n">
        <v>28387.933234</v>
      </c>
      <c r="H16" s="18" t="n">
        <v>163.384904</v>
      </c>
      <c r="I16" s="18" t="n">
        <v>9601.888352</v>
      </c>
      <c r="J16" s="18" t="n">
        <v>62748.253394</v>
      </c>
      <c r="K16" s="18" t="n">
        <v>28895.039373</v>
      </c>
      <c r="L16" s="18" t="n">
        <v>5615.21561</v>
      </c>
      <c r="M16" s="44" t="n">
        <v>19.694301</v>
      </c>
      <c r="N16" s="44" t="n">
        <v>117.483462</v>
      </c>
      <c r="O16" s="44" t="n">
        <v>17.820833</v>
      </c>
      <c r="P16" s="18" t="n">
        <v>145.029722</v>
      </c>
      <c r="Q16" s="25" t="n">
        <v>464.558473</v>
      </c>
      <c r="R16" s="25" t="n">
        <v>408.299252</v>
      </c>
      <c r="S16" s="44" t="n">
        <v>169.195791</v>
      </c>
      <c r="T16" s="45" t="n">
        <v>0.66</v>
      </c>
      <c r="U16" s="45" t="n">
        <v>0.7</v>
      </c>
      <c r="V16" s="45" t="n">
        <v>0.72</v>
      </c>
      <c r="W16" s="19" t="n">
        <v>0.22</v>
      </c>
      <c r="X16" s="19" t="n">
        <v>0.63</v>
      </c>
      <c r="Y16" s="19" t="n">
        <v>0.36</v>
      </c>
      <c r="Z16" s="19" t="n">
        <v>0.01</v>
      </c>
      <c r="AA16" s="19" t="n">
        <v>0.09</v>
      </c>
      <c r="AB16" s="19" t="n">
        <v>0.16</v>
      </c>
      <c r="AC16" s="19" t="n">
        <v>0.62</v>
      </c>
      <c r="AD16" s="19" t="n">
        <v>0.33</v>
      </c>
      <c r="AE16" s="18" t="n">
        <v>0</v>
      </c>
    </row>
  </sheetData>
  <mergeCells count="1">
    <mergeCell ref="A1:AC1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60" customWidth="1" min="4" max="4"/>
    <col width="42" customWidth="1" min="5" max="5"/>
  </cols>
  <sheetData>
    <row r="1">
      <c r="A1" s="60" t="inlineStr">
        <is>
          <t>Live Web Baseline Snapshot</t>
        </is>
      </c>
    </row>
    <row r="2">
      <c r="A2" s="61" t="inlineStr">
        <is>
          <t>Mixture of official and reputable public web sources used only to pull the workbook back into the right postcode.</t>
        </is>
      </c>
    </row>
    <row r="3">
      <c r="A3" s="61" t="inlineStr">
        <is>
          <t>Fields without a clean public baseline feed remain synthetic elsewhere in the workbook.</t>
        </is>
      </c>
    </row>
    <row r="5">
      <c r="A5" s="60" t="inlineStr">
        <is>
          <t>Metric</t>
        </is>
      </c>
      <c r="B5" s="60" t="inlineStr">
        <is>
          <t>Value</t>
        </is>
      </c>
      <c r="C5" s="60" t="inlineStr">
        <is>
          <t>Observed date</t>
        </is>
      </c>
      <c r="D5" s="60" t="inlineStr">
        <is>
          <t>Source</t>
        </is>
      </c>
      <c r="E5" s="60" t="inlineStr">
        <is>
          <t>Notes</t>
        </is>
      </c>
    </row>
    <row r="6">
      <c r="A6" t="inlineStr">
        <is>
          <t>NVDA latest close</t>
        </is>
      </c>
      <c r="B6" t="n">
        <v>186.03</v>
      </c>
      <c r="C6" t="inlineStr">
        <is>
          <t>2026-03-11</t>
        </is>
      </c>
      <c r="D6" t="inlineStr">
        <is>
          <t>https://www.macrotrends.net/stocks/charts/NVDA/nvidia/stock-price-history/1000</t>
        </is>
      </c>
      <c r="E6" t="inlineStr">
        <is>
          <t>Macrotrends adjusted history page</t>
        </is>
      </c>
    </row>
    <row r="7">
      <c r="A7" t="inlineStr">
        <is>
          <t>NVDA 2026 YTD high</t>
        </is>
      </c>
      <c r="B7" t="n">
        <v>195.549</v>
      </c>
      <c r="C7" t="inlineStr">
        <is>
          <t>2026-03-11</t>
        </is>
      </c>
      <c r="D7" t="inlineStr">
        <is>
          <t>https://www.macrotrends.net/stocks/charts/NVDA/nvidia/stock-price-history/1000</t>
        </is>
      </c>
      <c r="E7" t="inlineStr">
        <is>
          <t>Used as ballpark high anchor</t>
        </is>
      </c>
    </row>
    <row r="8">
      <c r="A8" t="inlineStr">
        <is>
          <t>NVDA 2026 YTD low</t>
        </is>
      </c>
      <c r="B8" t="n">
        <v>171.871</v>
      </c>
      <c r="C8" t="inlineStr">
        <is>
          <t>2026-03-11</t>
        </is>
      </c>
      <c r="D8" t="inlineStr">
        <is>
          <t>https://www.macrotrends.net/stocks/charts/NVDA/nvidia/stock-price-history/1000</t>
        </is>
      </c>
      <c r="E8" t="inlineStr">
        <is>
          <t>Used as ballpark low anchor</t>
        </is>
      </c>
    </row>
    <row r="9">
      <c r="A9" t="inlineStr">
        <is>
          <t>VIX prev close</t>
        </is>
      </c>
      <c r="B9" t="n">
        <v>25.09</v>
      </c>
      <c r="C9" t="inlineStr">
        <is>
          <t>2026-03-18</t>
        </is>
      </c>
      <c r="D9" t="inlineStr">
        <is>
          <t>https://www.cboe.com/tradable-products/vix</t>
        </is>
      </c>
      <c r="E9" t="inlineStr">
        <is>
          <t>Official Cboe VIX page</t>
        </is>
      </c>
    </row>
    <row r="10">
      <c r="A10" t="inlineStr">
        <is>
          <t>VIX 52w high</t>
        </is>
      </c>
      <c r="B10" t="n">
        <v>60.13</v>
      </c>
      <c r="C10" t="inlineStr">
        <is>
          <t>2026-03-18</t>
        </is>
      </c>
      <c r="D10" t="inlineStr">
        <is>
          <t>https://www.cboe.com/tradable-products/vix</t>
        </is>
      </c>
      <c r="E10" t="inlineStr">
        <is>
          <t>Official Cboe VIX page</t>
        </is>
      </c>
    </row>
    <row r="11">
      <c r="A11" t="inlineStr">
        <is>
          <t>VIX 52w low</t>
        </is>
      </c>
      <c r="B11" t="n">
        <v>13.38</v>
      </c>
      <c r="C11" t="inlineStr">
        <is>
          <t>2026-03-18</t>
        </is>
      </c>
      <c r="D11" t="inlineStr">
        <is>
          <t>https://www.cboe.com/tradable-products/vix</t>
        </is>
      </c>
      <c r="E11" t="inlineStr">
        <is>
          <t>Official Cboe VIX page</t>
        </is>
      </c>
    </row>
    <row r="12">
      <c r="A12" t="inlineStr">
        <is>
          <t>US 10Y yield (%)</t>
        </is>
      </c>
      <c r="B12" t="n">
        <v>4.25</v>
      </c>
      <c r="C12" t="inlineStr">
        <is>
          <t>2026-03-19</t>
        </is>
      </c>
      <c r="D12" t="inlineStr">
        <is>
          <t>https://fred.stlouisfed.org/series/DGS10</t>
        </is>
      </c>
      <c r="E12" t="inlineStr">
        <is>
          <t>FRED / Fed H.15</t>
        </is>
      </c>
    </row>
    <row r="13">
      <c r="A13" t="inlineStr">
        <is>
          <t>US 2Y yield (%)</t>
        </is>
      </c>
      <c r="B13" t="n">
        <v>3.79</v>
      </c>
      <c r="C13" t="inlineStr">
        <is>
          <t>2026-03-19</t>
        </is>
      </c>
      <c r="D13" t="inlineStr">
        <is>
          <t>https://fred.stlouisfed.org/series/DGS2</t>
        </is>
      </c>
      <c r="E13" t="inlineStr">
        <is>
          <t>FRED / Fed H.15</t>
        </is>
      </c>
    </row>
    <row r="14">
      <c r="A14" t="inlineStr">
        <is>
          <t>USDJPY</t>
        </is>
      </c>
      <c r="B14" t="n">
        <v>159.54</v>
      </c>
      <c r="C14" t="inlineStr">
        <is>
          <t>2026-03-13</t>
        </is>
      </c>
      <c r="D14" t="inlineStr">
        <is>
          <t>https://fred.stlouisfed.org/series/DEXJPUS</t>
        </is>
      </c>
      <c r="E14" t="inlineStr">
        <is>
          <t>FRED FX daily rate</t>
        </is>
      </c>
    </row>
    <row r="15">
      <c r="A15" t="inlineStr">
        <is>
          <t>S&amp;P 500 close</t>
        </is>
      </c>
      <c r="B15" t="n">
        <v>6506.48</v>
      </c>
      <c r="C15" t="inlineStr">
        <is>
          <t>2026-03-20</t>
        </is>
      </c>
      <c r="D15" t="inlineStr">
        <is>
          <t>https://fred.stlouisfed.org/series/SP500</t>
        </is>
      </c>
      <c r="E15" t="inlineStr">
        <is>
          <t>Used as ES proxy in workbook</t>
        </is>
      </c>
    </row>
    <row r="16">
      <c r="A16" t="inlineStr">
        <is>
          <t>NASDAQ-100 close</t>
        </is>
      </c>
      <c r="B16" t="n">
        <v>23898.15</v>
      </c>
      <c r="C16" t="inlineStr">
        <is>
          <t>2026-03-20</t>
        </is>
      </c>
      <c r="D16" t="inlineStr">
        <is>
          <t>https://fred.stlouisfed.org/series/NASDAQ100</t>
        </is>
      </c>
      <c r="E16" t="inlineStr">
        <is>
          <t>Used as NQ proxy in workbook</t>
        </is>
      </c>
    </row>
    <row r="17">
      <c r="A17" t="inlineStr">
        <is>
          <t>XLK close</t>
        </is>
      </c>
      <c r="B17" t="n">
        <v>140.43</v>
      </c>
      <c r="C17" t="inlineStr">
        <is>
          <t>2026-03-11</t>
        </is>
      </c>
      <c r="D17" t="inlineStr">
        <is>
          <t>https://stockanalysis.com/etf/xlk/history/</t>
        </is>
      </c>
      <c r="E17" t="inlineStr">
        <is>
          <t>Public ETF history page</t>
        </is>
      </c>
    </row>
    <row r="18">
      <c r="A18" t="inlineStr">
        <is>
          <t>SOX close</t>
        </is>
      </c>
      <c r="B18" t="n">
        <v>7914.6</v>
      </c>
      <c r="C18" t="inlineStr">
        <is>
          <t>2026-03-11</t>
        </is>
      </c>
      <c r="D18" t="inlineStr">
        <is>
          <t>https://ph.investing.com/indices/phlx-semiconductor-historical-data</t>
        </is>
      </c>
      <c r="E18" t="inlineStr">
        <is>
          <t>Public index history page</t>
        </is>
      </c>
    </row>
    <row r="19">
      <c r="A19" t="inlineStr">
        <is>
          <t>Nikkei 225 close</t>
        </is>
      </c>
      <c r="B19" t="n">
        <v>54453</v>
      </c>
      <c r="C19" t="inlineStr">
        <is>
          <t>2026-03-12</t>
        </is>
      </c>
      <c r="D19" t="inlineStr">
        <is>
          <t>https://tradingeconomics.com/japan/stock-market/news/524510</t>
        </is>
      </c>
      <c r="E19" t="inlineStr">
        <is>
          <t>Public close summary</t>
        </is>
      </c>
    </row>
    <row r="20">
      <c r="A20" t="inlineStr">
        <is>
          <t>Hang Seng close</t>
        </is>
      </c>
      <c r="B20" t="n">
        <v>25321.34</v>
      </c>
      <c r="C20" t="inlineStr">
        <is>
          <t>2026-03-05</t>
        </is>
      </c>
      <c r="D20" t="inlineStr">
        <is>
          <t>https://www.china.org.cn/china/Off_the_Wire/2026-03/05/content_118363763.shtml</t>
        </is>
      </c>
      <c r="E20" t="inlineStr">
        <is>
          <t>Public close summary</t>
        </is>
      </c>
    </row>
    <row r="21">
      <c r="A21" t="inlineStr">
        <is>
          <t>Hang Seng Tech close</t>
        </is>
      </c>
      <c r="B21" t="n">
        <v>4796.33</v>
      </c>
      <c r="C21" t="inlineStr">
        <is>
          <t>2026-03-05</t>
        </is>
      </c>
      <c r="D21" t="inlineStr">
        <is>
          <t>https://www.china.org.cn/china/Off_the_Wire/2026-03/05/content_118363763.shtml</t>
        </is>
      </c>
      <c r="E21" t="inlineStr">
        <is>
          <t>Public close summary</t>
        </is>
      </c>
    </row>
    <row r="22">
      <c r="A22" t="inlineStr">
        <is>
          <t>VVIX close</t>
        </is>
      </c>
      <c r="B22" t="n">
        <v>140.44</v>
      </c>
      <c r="C22" t="inlineStr">
        <is>
          <t>2026-03-06</t>
        </is>
      </c>
      <c r="D22" t="inlineStr">
        <is>
          <t>https://finance.yahoo.com/quote/%5EVVIX/</t>
        </is>
      </c>
      <c r="E22" t="inlineStr">
        <is>
          <t>Delayed public quote</t>
        </is>
      </c>
    </row>
    <row r="23">
      <c r="A23" t="inlineStr">
        <is>
          <t>VIX9D close</t>
        </is>
      </c>
      <c r="B23" t="n">
        <v>24.44</v>
      </c>
      <c r="C23" t="inlineStr">
        <is>
          <t>2026-03-11</t>
        </is>
      </c>
      <c r="D23" t="inlineStr">
        <is>
          <t>https://www.investing.com/indices/s-p-500-9day-volatility-historical-data</t>
        </is>
      </c>
      <c r="E23" t="inlineStr">
        <is>
          <t>Public historical close</t>
        </is>
      </c>
    </row>
    <row r="24">
      <c r="A24" t="inlineStr">
        <is>
          <t>SKEW close</t>
        </is>
      </c>
      <c r="B24" t="n">
        <v>152.44</v>
      </c>
      <c r="C24" t="inlineStr">
        <is>
          <t>2026-03-11</t>
        </is>
      </c>
      <c r="D24" t="inlineStr">
        <is>
          <t>https://ycharts.com/indicators/skew_index</t>
        </is>
      </c>
      <c r="E24" t="inlineStr">
        <is>
          <t>Public historical close</t>
        </is>
      </c>
    </row>
    <row r="26">
      <c r="A26" s="60" t="inlineStr">
        <is>
          <t>Recent daily observations used as live baseline snippets</t>
        </is>
      </c>
    </row>
    <row r="27">
      <c r="A27" s="62" t="inlineStr">
        <is>
          <t>Series</t>
        </is>
      </c>
      <c r="B27" s="62" t="inlineStr">
        <is>
          <t>Date</t>
        </is>
      </c>
      <c r="C27" s="62" t="inlineStr">
        <is>
          <t>Value</t>
        </is>
      </c>
      <c r="D27" s="62" t="inlineStr">
        <is>
          <t>Source</t>
        </is>
      </c>
      <c r="E27" s="62" t="inlineStr">
        <is>
          <t>Notes</t>
        </is>
      </c>
    </row>
    <row r="28">
      <c r="A28" t="inlineStr">
        <is>
          <t>DGS10</t>
        </is>
      </c>
      <c r="B28" t="inlineStr">
        <is>
          <t>2026-03-19</t>
        </is>
      </c>
      <c r="C28" t="n">
        <v>4.25</v>
      </c>
      <c r="D28" t="inlineStr">
        <is>
          <t>https://fred.stlouisfed.org/series/DGS10</t>
        </is>
      </c>
    </row>
    <row r="29">
      <c r="A29" t="inlineStr">
        <is>
          <t>DGS10</t>
        </is>
      </c>
      <c r="B29" t="inlineStr">
        <is>
          <t>2026-03-18</t>
        </is>
      </c>
      <c r="C29" t="n">
        <v>4.26</v>
      </c>
      <c r="D29" t="inlineStr">
        <is>
          <t>https://fred.stlouisfed.org/series/DGS10</t>
        </is>
      </c>
    </row>
    <row r="30">
      <c r="A30" t="inlineStr">
        <is>
          <t>DGS10</t>
        </is>
      </c>
      <c r="B30" t="inlineStr">
        <is>
          <t>2026-03-17</t>
        </is>
      </c>
      <c r="C30" t="n">
        <v>4.2</v>
      </c>
      <c r="D30" t="inlineStr">
        <is>
          <t>https://fred.stlouisfed.org/series/DGS10</t>
        </is>
      </c>
    </row>
    <row r="31">
      <c r="A31" t="inlineStr">
        <is>
          <t>DGS10</t>
        </is>
      </c>
      <c r="B31" t="inlineStr">
        <is>
          <t>2026-03-16</t>
        </is>
      </c>
      <c r="C31" t="n">
        <v>4.23</v>
      </c>
      <c r="D31" t="inlineStr">
        <is>
          <t>https://fred.stlouisfed.org/series/DGS10</t>
        </is>
      </c>
    </row>
    <row r="32">
      <c r="A32" t="inlineStr">
        <is>
          <t>DGS10</t>
        </is>
      </c>
      <c r="B32" t="inlineStr">
        <is>
          <t>2026-03-13</t>
        </is>
      </c>
      <c r="C32" t="n">
        <v>4.28</v>
      </c>
      <c r="D32" t="inlineStr">
        <is>
          <t>https://fred.stlouisfed.org/series/DGS10</t>
        </is>
      </c>
    </row>
    <row r="33">
      <c r="A33" t="inlineStr">
        <is>
          <t>DGS2</t>
        </is>
      </c>
      <c r="B33" t="inlineStr">
        <is>
          <t>2026-03-19</t>
        </is>
      </c>
      <c r="C33" t="n">
        <v>3.79</v>
      </c>
      <c r="D33" t="inlineStr">
        <is>
          <t>https://fred.stlouisfed.org/series/DGS2</t>
        </is>
      </c>
    </row>
    <row r="34">
      <c r="A34" t="inlineStr">
        <is>
          <t>DGS2</t>
        </is>
      </c>
      <c r="B34" t="inlineStr">
        <is>
          <t>2026-03-18</t>
        </is>
      </c>
      <c r="C34" t="n">
        <v>3.76</v>
      </c>
      <c r="D34" t="inlineStr">
        <is>
          <t>https://fred.stlouisfed.org/series/DGS2</t>
        </is>
      </c>
    </row>
    <row r="35">
      <c r="A35" t="inlineStr">
        <is>
          <t>DGS2</t>
        </is>
      </c>
      <c r="B35" t="inlineStr">
        <is>
          <t>2026-03-17</t>
        </is>
      </c>
      <c r="C35" t="n">
        <v>3.68</v>
      </c>
      <c r="D35" t="inlineStr">
        <is>
          <t>https://fred.stlouisfed.org/series/DGS2</t>
        </is>
      </c>
    </row>
    <row r="36">
      <c r="A36" t="inlineStr">
        <is>
          <t>DGS2</t>
        </is>
      </c>
      <c r="B36" t="inlineStr">
        <is>
          <t>2026-03-16</t>
        </is>
      </c>
      <c r="C36" t="n">
        <v>3.68</v>
      </c>
      <c r="D36" t="inlineStr">
        <is>
          <t>https://fred.stlouisfed.org/series/DGS2</t>
        </is>
      </c>
    </row>
    <row r="37">
      <c r="A37" t="inlineStr">
        <is>
          <t>DGS2</t>
        </is>
      </c>
      <c r="B37" t="inlineStr">
        <is>
          <t>2026-03-13</t>
        </is>
      </c>
      <c r="C37" t="n">
        <v>3.73</v>
      </c>
      <c r="D37" t="inlineStr">
        <is>
          <t>https://fred.stlouisfed.org/series/DGS2</t>
        </is>
      </c>
    </row>
    <row r="38">
      <c r="A38" t="inlineStr">
        <is>
          <t>DEXJPUS</t>
        </is>
      </c>
      <c r="B38" t="inlineStr">
        <is>
          <t>2026-03-13</t>
        </is>
      </c>
      <c r="C38" t="n">
        <v>159.54</v>
      </c>
      <c r="D38" t="inlineStr">
        <is>
          <t>https://fred.stlouisfed.org/series/DEXJPUS</t>
        </is>
      </c>
    </row>
    <row r="39">
      <c r="A39" t="inlineStr">
        <is>
          <t>DEXJPUS</t>
        </is>
      </c>
      <c r="B39" t="inlineStr">
        <is>
          <t>2026-03-12</t>
        </is>
      </c>
      <c r="C39" t="n">
        <v>159.21</v>
      </c>
      <c r="D39" t="inlineStr">
        <is>
          <t>https://fred.stlouisfed.org/series/DEXJPUS</t>
        </is>
      </c>
    </row>
    <row r="40">
      <c r="A40" t="inlineStr">
        <is>
          <t>DEXJPUS</t>
        </is>
      </c>
      <c r="B40" t="inlineStr">
        <is>
          <t>2026-03-11</t>
        </is>
      </c>
      <c r="C40" t="n">
        <v>158.83</v>
      </c>
      <c r="D40" t="inlineStr">
        <is>
          <t>https://fred.stlouisfed.org/series/DEXJPUS</t>
        </is>
      </c>
    </row>
    <row r="41">
      <c r="A41" t="inlineStr">
        <is>
          <t>DEXJPUS</t>
        </is>
      </c>
      <c r="B41" t="inlineStr">
        <is>
          <t>2026-03-10</t>
        </is>
      </c>
      <c r="C41" t="n">
        <v>157.6</v>
      </c>
      <c r="D41" t="inlineStr">
        <is>
          <t>https://fred.stlouisfed.org/series/DEXJPUS</t>
        </is>
      </c>
    </row>
    <row r="42">
      <c r="A42" t="inlineStr">
        <is>
          <t>DEXJPUS</t>
        </is>
      </c>
      <c r="B42" t="inlineStr">
        <is>
          <t>2026-03-09</t>
        </is>
      </c>
      <c r="C42" t="n">
        <v>158.08</v>
      </c>
      <c r="D42" t="inlineStr">
        <is>
          <t>https://fred.stlouisfed.org/series/DEXJPUS</t>
        </is>
      </c>
    </row>
    <row r="43">
      <c r="A43" t="inlineStr">
        <is>
          <t>SP500</t>
        </is>
      </c>
      <c r="B43" t="inlineStr">
        <is>
          <t>2026-03-20</t>
        </is>
      </c>
      <c r="C43" t="n">
        <v>6506.48</v>
      </c>
      <c r="D43" t="inlineStr">
        <is>
          <t>https://fred.stlouisfed.org/series/SP500</t>
        </is>
      </c>
    </row>
    <row r="44">
      <c r="A44" t="inlineStr">
        <is>
          <t>SP500</t>
        </is>
      </c>
      <c r="B44" t="inlineStr">
        <is>
          <t>2026-03-19</t>
        </is>
      </c>
      <c r="C44" t="n">
        <v>6606.49</v>
      </c>
      <c r="D44" t="inlineStr">
        <is>
          <t>https://fred.stlouisfed.org/series/SP500</t>
        </is>
      </c>
    </row>
    <row r="45">
      <c r="A45" t="inlineStr">
        <is>
          <t>SP500</t>
        </is>
      </c>
      <c r="B45" t="inlineStr">
        <is>
          <t>2026-03-18</t>
        </is>
      </c>
      <c r="C45" t="n">
        <v>6624.7</v>
      </c>
      <c r="D45" t="inlineStr">
        <is>
          <t>https://fred.stlouisfed.org/series/SP500</t>
        </is>
      </c>
    </row>
    <row r="46">
      <c r="A46" t="inlineStr">
        <is>
          <t>SP500</t>
        </is>
      </c>
      <c r="B46" t="inlineStr">
        <is>
          <t>2026-03-17</t>
        </is>
      </c>
      <c r="C46" t="n">
        <v>6716.09</v>
      </c>
      <c r="D46" t="inlineStr">
        <is>
          <t>https://fred.stlouisfed.org/series/SP500</t>
        </is>
      </c>
    </row>
    <row r="47">
      <c r="A47" t="inlineStr">
        <is>
          <t>SP500</t>
        </is>
      </c>
      <c r="B47" t="inlineStr">
        <is>
          <t>2026-03-16</t>
        </is>
      </c>
      <c r="C47" t="n">
        <v>6699.38</v>
      </c>
      <c r="D47" t="inlineStr">
        <is>
          <t>https://fred.stlouisfed.org/series/SP500</t>
        </is>
      </c>
    </row>
    <row r="48">
      <c r="A48" t="inlineStr">
        <is>
          <t>NASDAQ100</t>
        </is>
      </c>
      <c r="B48" t="inlineStr">
        <is>
          <t>2026-03-20</t>
        </is>
      </c>
      <c r="C48" t="n">
        <v>23898.15</v>
      </c>
      <c r="D48" t="inlineStr">
        <is>
          <t>https://fred.stlouisfed.org/series/NASDAQ100</t>
        </is>
      </c>
    </row>
    <row r="49">
      <c r="A49" t="inlineStr">
        <is>
          <t>NASDAQ100</t>
        </is>
      </c>
      <c r="B49" t="inlineStr">
        <is>
          <t>2026-03-19</t>
        </is>
      </c>
      <c r="C49" t="n">
        <v>24355.28</v>
      </c>
      <c r="D49" t="inlineStr">
        <is>
          <t>https://fred.stlouisfed.org/series/NASDAQ100</t>
        </is>
      </c>
    </row>
    <row r="50">
      <c r="A50" t="inlineStr">
        <is>
          <t>NASDAQ100</t>
        </is>
      </c>
      <c r="B50" t="inlineStr">
        <is>
          <t>2026-03-18</t>
        </is>
      </c>
      <c r="C50" t="n">
        <v>24425.09</v>
      </c>
      <c r="D50" t="inlineStr">
        <is>
          <t>https://fred.stlouisfed.org/series/NASDAQ100</t>
        </is>
      </c>
    </row>
    <row r="51">
      <c r="A51" t="inlineStr">
        <is>
          <t>NASDAQ100</t>
        </is>
      </c>
      <c r="B51" t="inlineStr">
        <is>
          <t>2026-03-17</t>
        </is>
      </c>
      <c r="C51" t="n">
        <v>24780.42</v>
      </c>
      <c r="D51" t="inlineStr">
        <is>
          <t>https://fred.stlouisfed.org/series/NASDAQ100</t>
        </is>
      </c>
    </row>
    <row r="52">
      <c r="A52" t="inlineStr">
        <is>
          <t>NASDAQ100</t>
        </is>
      </c>
      <c r="B52" t="inlineStr">
        <is>
          <t>2026-03-16</t>
        </is>
      </c>
      <c r="C52" t="n">
        <v>24655.34</v>
      </c>
      <c r="D52" t="inlineStr">
        <is>
          <t>https://fred.stlouisfed.org/series/NASDAQ100</t>
        </is>
      </c>
    </row>
  </sheetData>
  <mergeCells count="2">
    <mergeCell ref="A1:E1"/>
    <mergeCell ref="A26:E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2" customWidth="1" min="28" max="28"/>
    <col width="10" customWidth="1" min="29" max="29"/>
  </cols>
  <sheetData>
    <row r="1">
      <c r="A1" s="1" t="inlineStr">
        <is>
          <t>Synthetic Raw Paths (Scenario-Adjusted)</t>
        </is>
      </c>
    </row>
    <row r="2">
      <c r="A2" s="22" t="inlineStr">
        <is>
          <t>Formula-driven from Anchor_Data plus scenario controls.</t>
        </is>
      </c>
      <c r="B2" t="n"/>
    </row>
    <row r="4">
      <c r="A4" s="15" t="inlineStr">
        <is>
          <t>Date</t>
        </is>
      </c>
      <c r="B4" s="15" t="inlineStr">
        <is>
          <t>NVDA_Close</t>
        </is>
      </c>
      <c r="C4" s="15" t="inlineStr">
        <is>
          <t>NVDA_High</t>
        </is>
      </c>
      <c r="D4" s="15" t="inlineStr">
        <is>
          <t>NVDA_Low</t>
        </is>
      </c>
      <c r="E4" s="15" t="inlineStr">
        <is>
          <t>NVDA_Volume_M</t>
        </is>
      </c>
      <c r="F4" s="15" t="inlineStr">
        <is>
          <t>ES</t>
        </is>
      </c>
      <c r="G4" s="15" t="inlineStr">
        <is>
          <t>NQ</t>
        </is>
      </c>
      <c r="H4" s="15" t="inlineStr">
        <is>
          <t>XLK</t>
        </is>
      </c>
      <c r="I4" s="15" t="inlineStr">
        <is>
          <t>SOX</t>
        </is>
      </c>
      <c r="J4" s="15" t="inlineStr">
        <is>
          <t>NKY</t>
        </is>
      </c>
      <c r="K4" s="15" t="inlineStr">
        <is>
          <t>HSI</t>
        </is>
      </c>
      <c r="L4" s="15" t="inlineStr">
        <is>
          <t>HSTECH</t>
        </is>
      </c>
      <c r="M4" s="15" t="inlineStr">
        <is>
          <t>VIX</t>
        </is>
      </c>
      <c r="N4" s="15" t="inlineStr">
        <is>
          <t>VVIX</t>
        </is>
      </c>
      <c r="O4" s="15" t="inlineStr">
        <is>
          <t>VIX9D</t>
        </is>
      </c>
      <c r="P4" s="15" t="inlineStr">
        <is>
          <t>SKEW</t>
        </is>
      </c>
      <c r="Q4" s="15" t="inlineStr">
        <is>
          <t>US10Y_bp</t>
        </is>
      </c>
      <c r="R4" s="15" t="inlineStr">
        <is>
          <t>US2Y_bp</t>
        </is>
      </c>
      <c r="S4" s="15" t="inlineStr">
        <is>
          <t>USDJPY</t>
        </is>
      </c>
      <c r="T4" s="15" t="inlineStr">
        <is>
          <t>SPX_Breadth</t>
        </is>
      </c>
      <c r="U4" s="15" t="inlineStr">
        <is>
          <t>NDX_Breadth</t>
        </is>
      </c>
      <c r="V4" s="15" t="inlineStr">
        <is>
          <t>SOX_Breadth</t>
        </is>
      </c>
      <c r="W4" s="15" t="inlineStr">
        <is>
          <t>Dealer_Gamma</t>
        </is>
      </c>
      <c r="X4" s="15" t="inlineStr">
        <is>
          <t>Gamma_Conc</t>
        </is>
      </c>
      <c r="Y4" s="15" t="inlineStr">
        <is>
          <t>ATM_IV</t>
        </is>
      </c>
      <c r="Z4" s="15" t="inlineStr">
        <is>
          <t>Term_Slope</t>
        </is>
      </c>
      <c r="AA4" s="15" t="inlineStr">
        <is>
          <t>Skew_Slope</t>
        </is>
      </c>
      <c r="AB4" s="15" t="inlineStr">
        <is>
          <t>CallPut_Imbal</t>
        </is>
      </c>
      <c r="AC4" s="15" t="inlineStr">
        <is>
          <t>OI_Conc</t>
        </is>
      </c>
      <c r="AD4" s="15" t="inlineStr">
        <is>
          <t>RV20d</t>
        </is>
      </c>
      <c r="AE4" s="15" t="inlineStr">
        <is>
          <t>Event_Flag</t>
        </is>
      </c>
    </row>
    <row r="5">
      <c r="A5" s="46">
        <f>Anchor_Data!A5</f>
        <v/>
      </c>
      <c r="B5" s="47">
        <f>Anchor_Data!B5*Controls!$B$14</f>
        <v/>
      </c>
      <c r="C5" s="47">
        <f>Anchor_Data!C5*Controls!$B$14</f>
        <v/>
      </c>
      <c r="D5" s="47">
        <f>Anchor_Data!D5*Controls!$B$14</f>
        <v/>
      </c>
      <c r="E5" s="5">
        <f>Anchor_Data!E5*Controls!$B$15</f>
        <v/>
      </c>
      <c r="F5" s="5">
        <f>Anchor_Data!F5*Controls!$B$16</f>
        <v/>
      </c>
      <c r="G5" s="5">
        <f>Anchor_Data!G5*Controls!$B$16</f>
        <v/>
      </c>
      <c r="H5" s="5">
        <f>Anchor_Data!H5*Controls!$B$16</f>
        <v/>
      </c>
      <c r="I5" s="5">
        <f>Anchor_Data!I5*Controls!$B$16</f>
        <v/>
      </c>
      <c r="J5" s="5">
        <f>Anchor_Data!J5*Controls!$B$17</f>
        <v/>
      </c>
      <c r="K5" s="5">
        <f>Anchor_Data!K5*Controls!$B$17</f>
        <v/>
      </c>
      <c r="L5" s="5">
        <f>Anchor_Data!L5*Controls!$B$17</f>
        <v/>
      </c>
      <c r="M5" s="47">
        <f>Anchor_Data!M5+Controls!$B$18</f>
        <v/>
      </c>
      <c r="N5" s="47">
        <f>Anchor_Data!N5+Controls!$B$19</f>
        <v/>
      </c>
      <c r="O5" s="47">
        <f>Anchor_Data!O5+Controls!$B$20</f>
        <v/>
      </c>
      <c r="P5" s="5">
        <f>Anchor_Data!P5+Controls!$B$21</f>
        <v/>
      </c>
      <c r="Q5" s="29">
        <f>Anchor_Data!Q5+Controls!$B$22</f>
        <v/>
      </c>
      <c r="R5" s="29">
        <f>Anchor_Data!R5+Controls!$B$23</f>
        <v/>
      </c>
      <c r="S5" s="47">
        <f>Anchor_Data!S5*Controls!$B$24</f>
        <v/>
      </c>
      <c r="T5" s="48">
        <f>MAX(0,MIN(1,Anchor_Data!T5+Controls!$B$25))</f>
        <v/>
      </c>
      <c r="U5" s="48">
        <f>MAX(0,MIN(1,Anchor_Data!U5+Controls!$B$25))</f>
        <v/>
      </c>
      <c r="V5" s="48">
        <f>MAX(0,MIN(1,Anchor_Data!V5+Controls!$B$25))</f>
        <v/>
      </c>
      <c r="W5" s="31">
        <f>MAX(-1,MIN(1,Anchor_Data!W5+Controls!$B$26))</f>
        <v/>
      </c>
      <c r="X5" s="31">
        <f>MAX(0,MIN(1,Anchor_Data!X5+Controls!$B$27))</f>
        <v/>
      </c>
      <c r="Y5" s="31">
        <f>MAX(0,Anchor_Data!Y5+Controls!$B$28)</f>
        <v/>
      </c>
      <c r="Z5" s="31">
        <f>MAX(0,Anchor_Data!Z5+Controls!$B$29)</f>
        <v/>
      </c>
      <c r="AA5" s="31">
        <f>MAX(0,Anchor_Data!AA5+Controls!$B$30)</f>
        <v/>
      </c>
      <c r="AB5" s="31">
        <f>MAX(0,MIN(1,Anchor_Data!AB5+Controls!$B$31))</f>
        <v/>
      </c>
      <c r="AC5" s="31">
        <f>Anchor_Data!AC5+Controls!$B$32</f>
        <v/>
      </c>
      <c r="AD5" s="32" t="n"/>
    </row>
    <row r="6">
      <c r="A6" s="46">
        <f>Anchor_Data!A6</f>
        <v/>
      </c>
      <c r="B6" s="47">
        <f>Anchor_Data!B6*Controls!$B$14</f>
        <v/>
      </c>
      <c r="C6" s="47">
        <f>Anchor_Data!C6*Controls!$B$14</f>
        <v/>
      </c>
      <c r="D6" s="47">
        <f>Anchor_Data!D6*Controls!$B$14</f>
        <v/>
      </c>
      <c r="E6" s="5">
        <f>Anchor_Data!E6*Controls!$B$15</f>
        <v/>
      </c>
      <c r="F6" s="5">
        <f>Anchor_Data!F6*Controls!$B$16</f>
        <v/>
      </c>
      <c r="G6" s="5">
        <f>Anchor_Data!G6*Controls!$B$16</f>
        <v/>
      </c>
      <c r="H6" s="5">
        <f>Anchor_Data!H6*Controls!$B$16</f>
        <v/>
      </c>
      <c r="I6" s="5">
        <f>Anchor_Data!I6*Controls!$B$16</f>
        <v/>
      </c>
      <c r="J6" s="5">
        <f>Anchor_Data!J6*Controls!$B$17</f>
        <v/>
      </c>
      <c r="K6" s="5">
        <f>Anchor_Data!K6*Controls!$B$17</f>
        <v/>
      </c>
      <c r="L6" s="5">
        <f>Anchor_Data!L6*Controls!$B$17</f>
        <v/>
      </c>
      <c r="M6" s="47">
        <f>Anchor_Data!M6+Controls!$B$18</f>
        <v/>
      </c>
      <c r="N6" s="47">
        <f>Anchor_Data!N6+Controls!$B$19</f>
        <v/>
      </c>
      <c r="O6" s="47">
        <f>Anchor_Data!O6+Controls!$B$20</f>
        <v/>
      </c>
      <c r="P6" s="5">
        <f>Anchor_Data!P6+Controls!$B$21</f>
        <v/>
      </c>
      <c r="Q6" s="29">
        <f>Anchor_Data!Q6+Controls!$B$22</f>
        <v/>
      </c>
      <c r="R6" s="29">
        <f>Anchor_Data!R6+Controls!$B$23</f>
        <v/>
      </c>
      <c r="S6" s="47">
        <f>Anchor_Data!S6*Controls!$B$24</f>
        <v/>
      </c>
      <c r="T6" s="48">
        <f>MAX(0,MIN(1,Anchor_Data!T6+Controls!$B$25))</f>
        <v/>
      </c>
      <c r="U6" s="48">
        <f>MAX(0,MIN(1,Anchor_Data!U6+Controls!$B$25))</f>
        <v/>
      </c>
      <c r="V6" s="48">
        <f>MAX(0,MIN(1,Anchor_Data!V6+Controls!$B$25))</f>
        <v/>
      </c>
      <c r="W6" s="31">
        <f>MAX(-1,MIN(1,Anchor_Data!W6+Controls!$B$26))</f>
        <v/>
      </c>
      <c r="X6" s="31">
        <f>MAX(0,MIN(1,Anchor_Data!X6+Controls!$B$27))</f>
        <v/>
      </c>
      <c r="Y6" s="31">
        <f>MAX(0,Anchor_Data!Y6+Controls!$B$28)</f>
        <v/>
      </c>
      <c r="Z6" s="31">
        <f>MAX(0,Anchor_Data!Z6+Controls!$B$29)</f>
        <v/>
      </c>
      <c r="AA6" s="31">
        <f>MAX(0,Anchor_Data!AA6+Controls!$B$30)</f>
        <v/>
      </c>
      <c r="AB6" s="31">
        <f>MAX(0,MIN(1,Anchor_Data!AB6+Controls!$B$31))</f>
        <v/>
      </c>
      <c r="AC6" s="31">
        <f>Anchor_Data!AC6+Controls!$B$32</f>
        <v/>
      </c>
      <c r="AD6" s="32" t="n"/>
    </row>
    <row r="7">
      <c r="A7" s="46">
        <f>Anchor_Data!A7</f>
        <v/>
      </c>
      <c r="B7" s="47">
        <f>Anchor_Data!B7*Controls!$B$14</f>
        <v/>
      </c>
      <c r="C7" s="47">
        <f>Anchor_Data!C7*Controls!$B$14</f>
        <v/>
      </c>
      <c r="D7" s="47">
        <f>Anchor_Data!D7*Controls!$B$14</f>
        <v/>
      </c>
      <c r="E7" s="5">
        <f>Anchor_Data!E7*Controls!$B$15</f>
        <v/>
      </c>
      <c r="F7" s="5">
        <f>Anchor_Data!F7*Controls!$B$16</f>
        <v/>
      </c>
      <c r="G7" s="5">
        <f>Anchor_Data!G7*Controls!$B$16</f>
        <v/>
      </c>
      <c r="H7" s="5">
        <f>Anchor_Data!H7*Controls!$B$16</f>
        <v/>
      </c>
      <c r="I7" s="5">
        <f>Anchor_Data!I7*Controls!$B$16</f>
        <v/>
      </c>
      <c r="J7" s="5">
        <f>Anchor_Data!J7*Controls!$B$17</f>
        <v/>
      </c>
      <c r="K7" s="5">
        <f>Anchor_Data!K7*Controls!$B$17</f>
        <v/>
      </c>
      <c r="L7" s="5">
        <f>Anchor_Data!L7*Controls!$B$17</f>
        <v/>
      </c>
      <c r="M7" s="47">
        <f>Anchor_Data!M7+Controls!$B$18</f>
        <v/>
      </c>
      <c r="N7" s="47">
        <f>Anchor_Data!N7+Controls!$B$19</f>
        <v/>
      </c>
      <c r="O7" s="47">
        <f>Anchor_Data!O7+Controls!$B$20</f>
        <v/>
      </c>
      <c r="P7" s="5">
        <f>Anchor_Data!P7+Controls!$B$21</f>
        <v/>
      </c>
      <c r="Q7" s="29">
        <f>Anchor_Data!Q7+Controls!$B$22</f>
        <v/>
      </c>
      <c r="R7" s="29">
        <f>Anchor_Data!R7+Controls!$B$23</f>
        <v/>
      </c>
      <c r="S7" s="47">
        <f>Anchor_Data!S7*Controls!$B$24</f>
        <v/>
      </c>
      <c r="T7" s="48">
        <f>MAX(0,MIN(1,Anchor_Data!T7+Controls!$B$25))</f>
        <v/>
      </c>
      <c r="U7" s="48">
        <f>MAX(0,MIN(1,Anchor_Data!U7+Controls!$B$25))</f>
        <v/>
      </c>
      <c r="V7" s="48">
        <f>MAX(0,MIN(1,Anchor_Data!V7+Controls!$B$25))</f>
        <v/>
      </c>
      <c r="W7" s="31">
        <f>MAX(-1,MIN(1,Anchor_Data!W7+Controls!$B$26))</f>
        <v/>
      </c>
      <c r="X7" s="31">
        <f>MAX(0,MIN(1,Anchor_Data!X7+Controls!$B$27))</f>
        <v/>
      </c>
      <c r="Y7" s="31">
        <f>MAX(0,Anchor_Data!Y7+Controls!$B$28)</f>
        <v/>
      </c>
      <c r="Z7" s="31">
        <f>MAX(0,Anchor_Data!Z7+Controls!$B$29)</f>
        <v/>
      </c>
      <c r="AA7" s="31">
        <f>MAX(0,Anchor_Data!AA7+Controls!$B$30)</f>
        <v/>
      </c>
      <c r="AB7" s="31">
        <f>MAX(0,MIN(1,Anchor_Data!AB7+Controls!$B$31))</f>
        <v/>
      </c>
      <c r="AC7" s="31">
        <f>Anchor_Data!AC7+Controls!$B$32</f>
        <v/>
      </c>
      <c r="AD7" s="32" t="n"/>
    </row>
    <row r="8">
      <c r="A8" s="46">
        <f>Anchor_Data!A8</f>
        <v/>
      </c>
      <c r="B8" s="47">
        <f>Anchor_Data!B8*Controls!$B$14</f>
        <v/>
      </c>
      <c r="C8" s="47">
        <f>Anchor_Data!C8*Controls!$B$14</f>
        <v/>
      </c>
      <c r="D8" s="47">
        <f>Anchor_Data!D8*Controls!$B$14</f>
        <v/>
      </c>
      <c r="E8" s="5">
        <f>Anchor_Data!E8*Controls!$B$15</f>
        <v/>
      </c>
      <c r="F8" s="5">
        <f>Anchor_Data!F8*Controls!$B$16</f>
        <v/>
      </c>
      <c r="G8" s="5">
        <f>Anchor_Data!G8*Controls!$B$16</f>
        <v/>
      </c>
      <c r="H8" s="5">
        <f>Anchor_Data!H8*Controls!$B$16</f>
        <v/>
      </c>
      <c r="I8" s="5">
        <f>Anchor_Data!I8*Controls!$B$16</f>
        <v/>
      </c>
      <c r="J8" s="5">
        <f>Anchor_Data!J8*Controls!$B$17</f>
        <v/>
      </c>
      <c r="K8" s="5">
        <f>Anchor_Data!K8*Controls!$B$17</f>
        <v/>
      </c>
      <c r="L8" s="5">
        <f>Anchor_Data!L8*Controls!$B$17</f>
        <v/>
      </c>
      <c r="M8" s="47">
        <f>Anchor_Data!M8+Controls!$B$18</f>
        <v/>
      </c>
      <c r="N8" s="47">
        <f>Anchor_Data!N8+Controls!$B$19</f>
        <v/>
      </c>
      <c r="O8" s="47">
        <f>Anchor_Data!O8+Controls!$B$20</f>
        <v/>
      </c>
      <c r="P8" s="5">
        <f>Anchor_Data!P8+Controls!$B$21</f>
        <v/>
      </c>
      <c r="Q8" s="29">
        <f>Anchor_Data!Q8+Controls!$B$22</f>
        <v/>
      </c>
      <c r="R8" s="29">
        <f>Anchor_Data!R8+Controls!$B$23</f>
        <v/>
      </c>
      <c r="S8" s="47">
        <f>Anchor_Data!S8*Controls!$B$24</f>
        <v/>
      </c>
      <c r="T8" s="48">
        <f>MAX(0,MIN(1,Anchor_Data!T8+Controls!$B$25))</f>
        <v/>
      </c>
      <c r="U8" s="48">
        <f>MAX(0,MIN(1,Anchor_Data!U8+Controls!$B$25))</f>
        <v/>
      </c>
      <c r="V8" s="48">
        <f>MAX(0,MIN(1,Anchor_Data!V8+Controls!$B$25))</f>
        <v/>
      </c>
      <c r="W8" s="31">
        <f>MAX(-1,MIN(1,Anchor_Data!W8+Controls!$B$26))</f>
        <v/>
      </c>
      <c r="X8" s="31">
        <f>MAX(0,MIN(1,Anchor_Data!X8+Controls!$B$27))</f>
        <v/>
      </c>
      <c r="Y8" s="31">
        <f>MAX(0,Anchor_Data!Y8+Controls!$B$28)</f>
        <v/>
      </c>
      <c r="Z8" s="31">
        <f>MAX(0,Anchor_Data!Z8+Controls!$B$29)</f>
        <v/>
      </c>
      <c r="AA8" s="31">
        <f>MAX(0,Anchor_Data!AA8+Controls!$B$30)</f>
        <v/>
      </c>
      <c r="AB8" s="31">
        <f>MAX(0,MIN(1,Anchor_Data!AB8+Controls!$B$31))</f>
        <v/>
      </c>
      <c r="AC8" s="31">
        <f>Anchor_Data!AC8+Controls!$B$32</f>
        <v/>
      </c>
      <c r="AD8" s="32" t="n"/>
    </row>
    <row r="9">
      <c r="A9" s="46">
        <f>Anchor_Data!A9</f>
        <v/>
      </c>
      <c r="B9" s="47">
        <f>Anchor_Data!B9*Controls!$B$14</f>
        <v/>
      </c>
      <c r="C9" s="47">
        <f>Anchor_Data!C9*Controls!$B$14</f>
        <v/>
      </c>
      <c r="D9" s="47">
        <f>Anchor_Data!D9*Controls!$B$14</f>
        <v/>
      </c>
      <c r="E9" s="5">
        <f>Anchor_Data!E9*Controls!$B$15</f>
        <v/>
      </c>
      <c r="F9" s="5">
        <f>Anchor_Data!F9*Controls!$B$16</f>
        <v/>
      </c>
      <c r="G9" s="5">
        <f>Anchor_Data!G9*Controls!$B$16</f>
        <v/>
      </c>
      <c r="H9" s="5">
        <f>Anchor_Data!H9*Controls!$B$16</f>
        <v/>
      </c>
      <c r="I9" s="5">
        <f>Anchor_Data!I9*Controls!$B$16</f>
        <v/>
      </c>
      <c r="J9" s="5">
        <f>Anchor_Data!J9*Controls!$B$17</f>
        <v/>
      </c>
      <c r="K9" s="5">
        <f>Anchor_Data!K9*Controls!$B$17</f>
        <v/>
      </c>
      <c r="L9" s="5">
        <f>Anchor_Data!L9*Controls!$B$17</f>
        <v/>
      </c>
      <c r="M9" s="47">
        <f>Anchor_Data!M9+Controls!$B$18</f>
        <v/>
      </c>
      <c r="N9" s="47">
        <f>Anchor_Data!N9+Controls!$B$19</f>
        <v/>
      </c>
      <c r="O9" s="47">
        <f>Anchor_Data!O9+Controls!$B$20</f>
        <v/>
      </c>
      <c r="P9" s="5">
        <f>Anchor_Data!P9+Controls!$B$21</f>
        <v/>
      </c>
      <c r="Q9" s="29">
        <f>Anchor_Data!Q9+Controls!$B$22</f>
        <v/>
      </c>
      <c r="R9" s="29">
        <f>Anchor_Data!R9+Controls!$B$23</f>
        <v/>
      </c>
      <c r="S9" s="47">
        <f>Anchor_Data!S9*Controls!$B$24</f>
        <v/>
      </c>
      <c r="T9" s="48">
        <f>MAX(0,MIN(1,Anchor_Data!T9+Controls!$B$25))</f>
        <v/>
      </c>
      <c r="U9" s="48">
        <f>MAX(0,MIN(1,Anchor_Data!U9+Controls!$B$25))</f>
        <v/>
      </c>
      <c r="V9" s="48">
        <f>MAX(0,MIN(1,Anchor_Data!V9+Controls!$B$25))</f>
        <v/>
      </c>
      <c r="W9" s="31">
        <f>MAX(-1,MIN(1,Anchor_Data!W9+Controls!$B$26))</f>
        <v/>
      </c>
      <c r="X9" s="31">
        <f>MAX(0,MIN(1,Anchor_Data!X9+Controls!$B$27))</f>
        <v/>
      </c>
      <c r="Y9" s="31">
        <f>MAX(0,Anchor_Data!Y9+Controls!$B$28)</f>
        <v/>
      </c>
      <c r="Z9" s="31">
        <f>MAX(0,Anchor_Data!Z9+Controls!$B$29)</f>
        <v/>
      </c>
      <c r="AA9" s="31">
        <f>MAX(0,Anchor_Data!AA9+Controls!$B$30)</f>
        <v/>
      </c>
      <c r="AB9" s="31">
        <f>MAX(0,MIN(1,Anchor_Data!AB9+Controls!$B$31))</f>
        <v/>
      </c>
      <c r="AC9" s="31">
        <f>Anchor_Data!AC9+Controls!$B$32</f>
        <v/>
      </c>
      <c r="AD9" s="32" t="n"/>
    </row>
    <row r="10">
      <c r="A10" s="46">
        <f>Anchor_Data!A10</f>
        <v/>
      </c>
      <c r="B10" s="47">
        <f>Anchor_Data!B10*Controls!$B$14</f>
        <v/>
      </c>
      <c r="C10" s="47">
        <f>Anchor_Data!C10*Controls!$B$14</f>
        <v/>
      </c>
      <c r="D10" s="47">
        <f>Anchor_Data!D10*Controls!$B$14</f>
        <v/>
      </c>
      <c r="E10" s="5">
        <f>Anchor_Data!E10*Controls!$B$15</f>
        <v/>
      </c>
      <c r="F10" s="5">
        <f>Anchor_Data!F10*Controls!$B$16</f>
        <v/>
      </c>
      <c r="G10" s="5">
        <f>Anchor_Data!G10*Controls!$B$16</f>
        <v/>
      </c>
      <c r="H10" s="5">
        <f>Anchor_Data!H10*Controls!$B$16</f>
        <v/>
      </c>
      <c r="I10" s="5">
        <f>Anchor_Data!I10*Controls!$B$16</f>
        <v/>
      </c>
      <c r="J10" s="5">
        <f>Anchor_Data!J10*Controls!$B$17</f>
        <v/>
      </c>
      <c r="K10" s="5">
        <f>Anchor_Data!K10*Controls!$B$17</f>
        <v/>
      </c>
      <c r="L10" s="5">
        <f>Anchor_Data!L10*Controls!$B$17</f>
        <v/>
      </c>
      <c r="M10" s="47">
        <f>Anchor_Data!M10+Controls!$B$18</f>
        <v/>
      </c>
      <c r="N10" s="47">
        <f>Anchor_Data!N10+Controls!$B$19</f>
        <v/>
      </c>
      <c r="O10" s="47">
        <f>Anchor_Data!O10+Controls!$B$20</f>
        <v/>
      </c>
      <c r="P10" s="5">
        <f>Anchor_Data!P10+Controls!$B$21</f>
        <v/>
      </c>
      <c r="Q10" s="29">
        <f>Anchor_Data!Q10+Controls!$B$22</f>
        <v/>
      </c>
      <c r="R10" s="29">
        <f>Anchor_Data!R10+Controls!$B$23</f>
        <v/>
      </c>
      <c r="S10" s="47">
        <f>Anchor_Data!S10*Controls!$B$24</f>
        <v/>
      </c>
      <c r="T10" s="48">
        <f>MAX(0,MIN(1,Anchor_Data!T10+Controls!$B$25))</f>
        <v/>
      </c>
      <c r="U10" s="48">
        <f>MAX(0,MIN(1,Anchor_Data!U10+Controls!$B$25))</f>
        <v/>
      </c>
      <c r="V10" s="48">
        <f>MAX(0,MIN(1,Anchor_Data!V10+Controls!$B$25))</f>
        <v/>
      </c>
      <c r="W10" s="31">
        <f>MAX(-1,MIN(1,Anchor_Data!W10+Controls!$B$26))</f>
        <v/>
      </c>
      <c r="X10" s="31">
        <f>MAX(0,MIN(1,Anchor_Data!X10+Controls!$B$27))</f>
        <v/>
      </c>
      <c r="Y10" s="31">
        <f>MAX(0,Anchor_Data!Y10+Controls!$B$28)</f>
        <v/>
      </c>
      <c r="Z10" s="31">
        <f>MAX(0,Anchor_Data!Z10+Controls!$B$29)</f>
        <v/>
      </c>
      <c r="AA10" s="31">
        <f>MAX(0,Anchor_Data!AA10+Controls!$B$30)</f>
        <v/>
      </c>
      <c r="AB10" s="31">
        <f>MAX(0,MIN(1,Anchor_Data!AB10+Controls!$B$31))</f>
        <v/>
      </c>
      <c r="AC10" s="31">
        <f>Anchor_Data!AC10+Controls!$B$32</f>
        <v/>
      </c>
      <c r="AD10" s="32" t="n"/>
    </row>
    <row r="11">
      <c r="A11" s="46">
        <f>Anchor_Data!A11</f>
        <v/>
      </c>
      <c r="B11" s="47">
        <f>Anchor_Data!B11*Controls!$B$14</f>
        <v/>
      </c>
      <c r="C11" s="47">
        <f>Anchor_Data!C11*Controls!$B$14</f>
        <v/>
      </c>
      <c r="D11" s="47">
        <f>Anchor_Data!D11*Controls!$B$14</f>
        <v/>
      </c>
      <c r="E11" s="5">
        <f>Anchor_Data!E11*Controls!$B$15</f>
        <v/>
      </c>
      <c r="F11" s="5">
        <f>Anchor_Data!F11*Controls!$B$16</f>
        <v/>
      </c>
      <c r="G11" s="5">
        <f>Anchor_Data!G11*Controls!$B$16</f>
        <v/>
      </c>
      <c r="H11" s="5">
        <f>Anchor_Data!H11*Controls!$B$16</f>
        <v/>
      </c>
      <c r="I11" s="5">
        <f>Anchor_Data!I11*Controls!$B$16</f>
        <v/>
      </c>
      <c r="J11" s="5">
        <f>Anchor_Data!J11*Controls!$B$17</f>
        <v/>
      </c>
      <c r="K11" s="5">
        <f>Anchor_Data!K11*Controls!$B$17</f>
        <v/>
      </c>
      <c r="L11" s="5">
        <f>Anchor_Data!L11*Controls!$B$17</f>
        <v/>
      </c>
      <c r="M11" s="47">
        <f>Anchor_Data!M11+Controls!$B$18</f>
        <v/>
      </c>
      <c r="N11" s="47">
        <f>Anchor_Data!N11+Controls!$B$19</f>
        <v/>
      </c>
      <c r="O11" s="47">
        <f>Anchor_Data!O11+Controls!$B$20</f>
        <v/>
      </c>
      <c r="P11" s="5">
        <f>Anchor_Data!P11+Controls!$B$21</f>
        <v/>
      </c>
      <c r="Q11" s="29">
        <f>Anchor_Data!Q11+Controls!$B$22</f>
        <v/>
      </c>
      <c r="R11" s="29">
        <f>Anchor_Data!R11+Controls!$B$23</f>
        <v/>
      </c>
      <c r="S11" s="47">
        <f>Anchor_Data!S11*Controls!$B$24</f>
        <v/>
      </c>
      <c r="T11" s="48">
        <f>MAX(0,MIN(1,Anchor_Data!T11+Controls!$B$25))</f>
        <v/>
      </c>
      <c r="U11" s="48">
        <f>MAX(0,MIN(1,Anchor_Data!U11+Controls!$B$25))</f>
        <v/>
      </c>
      <c r="V11" s="48">
        <f>MAX(0,MIN(1,Anchor_Data!V11+Controls!$B$25))</f>
        <v/>
      </c>
      <c r="W11" s="31">
        <f>MAX(-1,MIN(1,Anchor_Data!W11+Controls!$B$26))</f>
        <v/>
      </c>
      <c r="X11" s="31">
        <f>MAX(0,MIN(1,Anchor_Data!X11+Controls!$B$27))</f>
        <v/>
      </c>
      <c r="Y11" s="31">
        <f>MAX(0,Anchor_Data!Y11+Controls!$B$28)</f>
        <v/>
      </c>
      <c r="Z11" s="31">
        <f>MAX(0,Anchor_Data!Z11+Controls!$B$29)</f>
        <v/>
      </c>
      <c r="AA11" s="31">
        <f>MAX(0,Anchor_Data!AA11+Controls!$B$30)</f>
        <v/>
      </c>
      <c r="AB11" s="31">
        <f>MAX(0,MIN(1,Anchor_Data!AB11+Controls!$B$31))</f>
        <v/>
      </c>
      <c r="AC11" s="31">
        <f>Anchor_Data!AC11+Controls!$B$32</f>
        <v/>
      </c>
      <c r="AD11" s="32" t="n"/>
    </row>
    <row r="12">
      <c r="A12" s="46">
        <f>Anchor_Data!A12</f>
        <v/>
      </c>
      <c r="B12" s="47">
        <f>Anchor_Data!B12*Controls!$B$14</f>
        <v/>
      </c>
      <c r="C12" s="47">
        <f>Anchor_Data!C12*Controls!$B$14</f>
        <v/>
      </c>
      <c r="D12" s="47">
        <f>Anchor_Data!D12*Controls!$B$14</f>
        <v/>
      </c>
      <c r="E12" s="5">
        <f>Anchor_Data!E12*Controls!$B$15</f>
        <v/>
      </c>
      <c r="F12" s="5">
        <f>Anchor_Data!F12*Controls!$B$16</f>
        <v/>
      </c>
      <c r="G12" s="5">
        <f>Anchor_Data!G12*Controls!$B$16</f>
        <v/>
      </c>
      <c r="H12" s="5">
        <f>Anchor_Data!H12*Controls!$B$16</f>
        <v/>
      </c>
      <c r="I12" s="5">
        <f>Anchor_Data!I12*Controls!$B$16</f>
        <v/>
      </c>
      <c r="J12" s="5">
        <f>Anchor_Data!J12*Controls!$B$17</f>
        <v/>
      </c>
      <c r="K12" s="5">
        <f>Anchor_Data!K12*Controls!$B$17</f>
        <v/>
      </c>
      <c r="L12" s="5">
        <f>Anchor_Data!L12*Controls!$B$17</f>
        <v/>
      </c>
      <c r="M12" s="47">
        <f>Anchor_Data!M12+Controls!$B$18</f>
        <v/>
      </c>
      <c r="N12" s="47">
        <f>Anchor_Data!N12+Controls!$B$19</f>
        <v/>
      </c>
      <c r="O12" s="47">
        <f>Anchor_Data!O12+Controls!$B$20</f>
        <v/>
      </c>
      <c r="P12" s="5">
        <f>Anchor_Data!P12+Controls!$B$21</f>
        <v/>
      </c>
      <c r="Q12" s="29">
        <f>Anchor_Data!Q12+Controls!$B$22</f>
        <v/>
      </c>
      <c r="R12" s="29">
        <f>Anchor_Data!R12+Controls!$B$23</f>
        <v/>
      </c>
      <c r="S12" s="47">
        <f>Anchor_Data!S12*Controls!$B$24</f>
        <v/>
      </c>
      <c r="T12" s="48">
        <f>MAX(0,MIN(1,Anchor_Data!T12+Controls!$B$25))</f>
        <v/>
      </c>
      <c r="U12" s="48">
        <f>MAX(0,MIN(1,Anchor_Data!U12+Controls!$B$25))</f>
        <v/>
      </c>
      <c r="V12" s="48">
        <f>MAX(0,MIN(1,Anchor_Data!V12+Controls!$B$25))</f>
        <v/>
      </c>
      <c r="W12" s="31">
        <f>MAX(-1,MIN(1,Anchor_Data!W12+Controls!$B$26))</f>
        <v/>
      </c>
      <c r="X12" s="31">
        <f>MAX(0,MIN(1,Anchor_Data!X12+Controls!$B$27))</f>
        <v/>
      </c>
      <c r="Y12" s="31">
        <f>MAX(0,Anchor_Data!Y12+Controls!$B$28)</f>
        <v/>
      </c>
      <c r="Z12" s="31">
        <f>MAX(0,Anchor_Data!Z12+Controls!$B$29)</f>
        <v/>
      </c>
      <c r="AA12" s="31">
        <f>MAX(0,Anchor_Data!AA12+Controls!$B$30)</f>
        <v/>
      </c>
      <c r="AB12" s="31">
        <f>MAX(0,MIN(1,Anchor_Data!AB12+Controls!$B$31))</f>
        <v/>
      </c>
      <c r="AC12" s="31">
        <f>Anchor_Data!AC12+Controls!$B$32</f>
        <v/>
      </c>
      <c r="AD12" s="32" t="n"/>
    </row>
    <row r="13">
      <c r="A13" s="46">
        <f>Anchor_Data!A13</f>
        <v/>
      </c>
      <c r="B13" s="47">
        <f>Anchor_Data!B13*Controls!$B$14</f>
        <v/>
      </c>
      <c r="C13" s="47">
        <f>Anchor_Data!C13*Controls!$B$14</f>
        <v/>
      </c>
      <c r="D13" s="47">
        <f>Anchor_Data!D13*Controls!$B$14</f>
        <v/>
      </c>
      <c r="E13" s="5">
        <f>Anchor_Data!E13*Controls!$B$15</f>
        <v/>
      </c>
      <c r="F13" s="5">
        <f>Anchor_Data!F13*Controls!$B$16</f>
        <v/>
      </c>
      <c r="G13" s="5">
        <f>Anchor_Data!G13*Controls!$B$16</f>
        <v/>
      </c>
      <c r="H13" s="5">
        <f>Anchor_Data!H13*Controls!$B$16</f>
        <v/>
      </c>
      <c r="I13" s="5">
        <f>Anchor_Data!I13*Controls!$B$16</f>
        <v/>
      </c>
      <c r="J13" s="5">
        <f>Anchor_Data!J13*Controls!$B$17</f>
        <v/>
      </c>
      <c r="K13" s="5">
        <f>Anchor_Data!K13*Controls!$B$17</f>
        <v/>
      </c>
      <c r="L13" s="5">
        <f>Anchor_Data!L13*Controls!$B$17</f>
        <v/>
      </c>
      <c r="M13" s="47">
        <f>Anchor_Data!M13+Controls!$B$18</f>
        <v/>
      </c>
      <c r="N13" s="47">
        <f>Anchor_Data!N13+Controls!$B$19</f>
        <v/>
      </c>
      <c r="O13" s="47">
        <f>Anchor_Data!O13+Controls!$B$20</f>
        <v/>
      </c>
      <c r="P13" s="5">
        <f>Anchor_Data!P13+Controls!$B$21</f>
        <v/>
      </c>
      <c r="Q13" s="29">
        <f>Anchor_Data!Q13+Controls!$B$22</f>
        <v/>
      </c>
      <c r="R13" s="29">
        <f>Anchor_Data!R13+Controls!$B$23</f>
        <v/>
      </c>
      <c r="S13" s="47">
        <f>Anchor_Data!S13*Controls!$B$24</f>
        <v/>
      </c>
      <c r="T13" s="48">
        <f>MAX(0,MIN(1,Anchor_Data!T13+Controls!$B$25))</f>
        <v/>
      </c>
      <c r="U13" s="48">
        <f>MAX(0,MIN(1,Anchor_Data!U13+Controls!$B$25))</f>
        <v/>
      </c>
      <c r="V13" s="48">
        <f>MAX(0,MIN(1,Anchor_Data!V13+Controls!$B$25))</f>
        <v/>
      </c>
      <c r="W13" s="31">
        <f>MAX(-1,MIN(1,Anchor_Data!W13+Controls!$B$26))</f>
        <v/>
      </c>
      <c r="X13" s="31">
        <f>MAX(0,MIN(1,Anchor_Data!X13+Controls!$B$27))</f>
        <v/>
      </c>
      <c r="Y13" s="31">
        <f>MAX(0,Anchor_Data!Y13+Controls!$B$28)</f>
        <v/>
      </c>
      <c r="Z13" s="31">
        <f>MAX(0,Anchor_Data!Z13+Controls!$B$29)</f>
        <v/>
      </c>
      <c r="AA13" s="31">
        <f>MAX(0,Anchor_Data!AA13+Controls!$B$30)</f>
        <v/>
      </c>
      <c r="AB13" s="31">
        <f>MAX(0,MIN(1,Anchor_Data!AB13+Controls!$B$31))</f>
        <v/>
      </c>
      <c r="AC13" s="31">
        <f>Anchor_Data!AC13+Controls!$B$32</f>
        <v/>
      </c>
      <c r="AD13" s="32" t="n"/>
    </row>
    <row r="14">
      <c r="A14" s="46">
        <f>Anchor_Data!A14</f>
        <v/>
      </c>
      <c r="B14" s="47">
        <f>Anchor_Data!B14*Controls!$B$14</f>
        <v/>
      </c>
      <c r="C14" s="47">
        <f>Anchor_Data!C14*Controls!$B$14</f>
        <v/>
      </c>
      <c r="D14" s="47">
        <f>Anchor_Data!D14*Controls!$B$14</f>
        <v/>
      </c>
      <c r="E14" s="5">
        <f>Anchor_Data!E14*Controls!$B$15</f>
        <v/>
      </c>
      <c r="F14" s="5">
        <f>Anchor_Data!F14*Controls!$B$16</f>
        <v/>
      </c>
      <c r="G14" s="5">
        <f>Anchor_Data!G14*Controls!$B$16</f>
        <v/>
      </c>
      <c r="H14" s="5">
        <f>Anchor_Data!H14*Controls!$B$16</f>
        <v/>
      </c>
      <c r="I14" s="5">
        <f>Anchor_Data!I14*Controls!$B$16</f>
        <v/>
      </c>
      <c r="J14" s="5">
        <f>Anchor_Data!J14*Controls!$B$17</f>
        <v/>
      </c>
      <c r="K14" s="5">
        <f>Anchor_Data!K14*Controls!$B$17</f>
        <v/>
      </c>
      <c r="L14" s="5">
        <f>Anchor_Data!L14*Controls!$B$17</f>
        <v/>
      </c>
      <c r="M14" s="47">
        <f>Anchor_Data!M14+Controls!$B$18</f>
        <v/>
      </c>
      <c r="N14" s="47">
        <f>Anchor_Data!N14+Controls!$B$19</f>
        <v/>
      </c>
      <c r="O14" s="47">
        <f>Anchor_Data!O14+Controls!$B$20</f>
        <v/>
      </c>
      <c r="P14" s="5">
        <f>Anchor_Data!P14+Controls!$B$21</f>
        <v/>
      </c>
      <c r="Q14" s="29">
        <f>Anchor_Data!Q14+Controls!$B$22</f>
        <v/>
      </c>
      <c r="R14" s="29">
        <f>Anchor_Data!R14+Controls!$B$23</f>
        <v/>
      </c>
      <c r="S14" s="47">
        <f>Anchor_Data!S14*Controls!$B$24</f>
        <v/>
      </c>
      <c r="T14" s="48">
        <f>MAX(0,MIN(1,Anchor_Data!T14+Controls!$B$25))</f>
        <v/>
      </c>
      <c r="U14" s="48">
        <f>MAX(0,MIN(1,Anchor_Data!U14+Controls!$B$25))</f>
        <v/>
      </c>
      <c r="V14" s="48">
        <f>MAX(0,MIN(1,Anchor_Data!V14+Controls!$B$25))</f>
        <v/>
      </c>
      <c r="W14" s="31">
        <f>MAX(-1,MIN(1,Anchor_Data!W14+Controls!$B$26))</f>
        <v/>
      </c>
      <c r="X14" s="31">
        <f>MAX(0,MIN(1,Anchor_Data!X14+Controls!$B$27))</f>
        <v/>
      </c>
      <c r="Y14" s="31">
        <f>MAX(0,Anchor_Data!Y14+Controls!$B$28)</f>
        <v/>
      </c>
      <c r="Z14" s="31">
        <f>MAX(0,Anchor_Data!Z14+Controls!$B$29)</f>
        <v/>
      </c>
      <c r="AA14" s="31">
        <f>MAX(0,Anchor_Data!AA14+Controls!$B$30)</f>
        <v/>
      </c>
      <c r="AB14" s="31">
        <f>MAX(0,MIN(1,Anchor_Data!AB14+Controls!$B$31))</f>
        <v/>
      </c>
      <c r="AC14" s="31">
        <f>Anchor_Data!AC14+Controls!$B$32</f>
        <v/>
      </c>
      <c r="AD14" s="32" t="n"/>
    </row>
    <row r="15">
      <c r="A15" s="46">
        <f>Anchor_Data!A15</f>
        <v/>
      </c>
      <c r="B15" s="47">
        <f>Anchor_Data!B15*Controls!$B$14</f>
        <v/>
      </c>
      <c r="C15" s="47">
        <f>Anchor_Data!C15*Controls!$B$14</f>
        <v/>
      </c>
      <c r="D15" s="47">
        <f>Anchor_Data!D15*Controls!$B$14</f>
        <v/>
      </c>
      <c r="E15" s="5">
        <f>Anchor_Data!E15*Controls!$B$15</f>
        <v/>
      </c>
      <c r="F15" s="5">
        <f>Anchor_Data!F15*Controls!$B$16</f>
        <v/>
      </c>
      <c r="G15" s="5">
        <f>Anchor_Data!G15*Controls!$B$16</f>
        <v/>
      </c>
      <c r="H15" s="5">
        <f>Anchor_Data!H15*Controls!$B$16</f>
        <v/>
      </c>
      <c r="I15" s="5">
        <f>Anchor_Data!I15*Controls!$B$16</f>
        <v/>
      </c>
      <c r="J15" s="5">
        <f>Anchor_Data!J15*Controls!$B$17</f>
        <v/>
      </c>
      <c r="K15" s="5">
        <f>Anchor_Data!K15*Controls!$B$17</f>
        <v/>
      </c>
      <c r="L15" s="5">
        <f>Anchor_Data!L15*Controls!$B$17</f>
        <v/>
      </c>
      <c r="M15" s="47">
        <f>Anchor_Data!M15+Controls!$B$18</f>
        <v/>
      </c>
      <c r="N15" s="47">
        <f>Anchor_Data!N15+Controls!$B$19</f>
        <v/>
      </c>
      <c r="O15" s="47">
        <f>Anchor_Data!O15+Controls!$B$20</f>
        <v/>
      </c>
      <c r="P15" s="5">
        <f>Anchor_Data!P15+Controls!$B$21</f>
        <v/>
      </c>
      <c r="Q15" s="29">
        <f>Anchor_Data!Q15+Controls!$B$22</f>
        <v/>
      </c>
      <c r="R15" s="29">
        <f>Anchor_Data!R15+Controls!$B$23</f>
        <v/>
      </c>
      <c r="S15" s="47">
        <f>Anchor_Data!S15*Controls!$B$24</f>
        <v/>
      </c>
      <c r="T15" s="48">
        <f>MAX(0,MIN(1,Anchor_Data!T15+Controls!$B$25))</f>
        <v/>
      </c>
      <c r="U15" s="48">
        <f>MAX(0,MIN(1,Anchor_Data!U15+Controls!$B$25))</f>
        <v/>
      </c>
      <c r="V15" s="48">
        <f>MAX(0,MIN(1,Anchor_Data!V15+Controls!$B$25))</f>
        <v/>
      </c>
      <c r="W15" s="31">
        <f>MAX(-1,MIN(1,Anchor_Data!W15+Controls!$B$26))</f>
        <v/>
      </c>
      <c r="X15" s="31">
        <f>MAX(0,MIN(1,Anchor_Data!X15+Controls!$B$27))</f>
        <v/>
      </c>
      <c r="Y15" s="31">
        <f>MAX(0,Anchor_Data!Y15+Controls!$B$28)</f>
        <v/>
      </c>
      <c r="Z15" s="31">
        <f>MAX(0,Anchor_Data!Z15+Controls!$B$29)</f>
        <v/>
      </c>
      <c r="AA15" s="31">
        <f>MAX(0,Anchor_Data!AA15+Controls!$B$30)</f>
        <v/>
      </c>
      <c r="AB15" s="31">
        <f>MAX(0,MIN(1,Anchor_Data!AB15+Controls!$B$31))</f>
        <v/>
      </c>
      <c r="AC15" s="31">
        <f>Anchor_Data!AC15+Controls!$B$32</f>
        <v/>
      </c>
      <c r="AD15" s="32" t="n"/>
    </row>
    <row r="16">
      <c r="A16" s="46">
        <f>Anchor_Data!A16</f>
        <v/>
      </c>
      <c r="B16" s="47">
        <f>Anchor_Data!B16*Controls!$B$14</f>
        <v/>
      </c>
      <c r="C16" s="47">
        <f>Anchor_Data!C16*Controls!$B$14</f>
        <v/>
      </c>
      <c r="D16" s="47">
        <f>Anchor_Data!D16*Controls!$B$14</f>
        <v/>
      </c>
      <c r="E16" s="5">
        <f>Anchor_Data!E16*Controls!$B$15</f>
        <v/>
      </c>
      <c r="F16" s="5">
        <f>Anchor_Data!F16*Controls!$B$16</f>
        <v/>
      </c>
      <c r="G16" s="5">
        <f>Anchor_Data!G16*Controls!$B$16</f>
        <v/>
      </c>
      <c r="H16" s="5">
        <f>Anchor_Data!H16*Controls!$B$16</f>
        <v/>
      </c>
      <c r="I16" s="5">
        <f>Anchor_Data!I16*Controls!$B$16</f>
        <v/>
      </c>
      <c r="J16" s="5">
        <f>Anchor_Data!J16*Controls!$B$17</f>
        <v/>
      </c>
      <c r="K16" s="5">
        <f>Anchor_Data!K16*Controls!$B$17</f>
        <v/>
      </c>
      <c r="L16" s="5">
        <f>Anchor_Data!L16*Controls!$B$17</f>
        <v/>
      </c>
      <c r="M16" s="47">
        <f>Anchor_Data!M16+Controls!$B$18</f>
        <v/>
      </c>
      <c r="N16" s="47">
        <f>Anchor_Data!N16+Controls!$B$19</f>
        <v/>
      </c>
      <c r="O16" s="47">
        <f>Anchor_Data!O16+Controls!$B$20</f>
        <v/>
      </c>
      <c r="P16" s="5">
        <f>Anchor_Data!P16+Controls!$B$21</f>
        <v/>
      </c>
      <c r="Q16" s="29">
        <f>Anchor_Data!Q16+Controls!$B$22</f>
        <v/>
      </c>
      <c r="R16" s="29">
        <f>Anchor_Data!R16+Controls!$B$23</f>
        <v/>
      </c>
      <c r="S16" s="47">
        <f>Anchor_Data!S16*Controls!$B$24</f>
        <v/>
      </c>
      <c r="T16" s="48">
        <f>MAX(0,MIN(1,Anchor_Data!T16+Controls!$B$25))</f>
        <v/>
      </c>
      <c r="U16" s="48">
        <f>MAX(0,MIN(1,Anchor_Data!U16+Controls!$B$25))</f>
        <v/>
      </c>
      <c r="V16" s="48">
        <f>MAX(0,MIN(1,Anchor_Data!V16+Controls!$B$25))</f>
        <v/>
      </c>
      <c r="W16" s="31">
        <f>MAX(-1,MIN(1,Anchor_Data!W16+Controls!$B$26))</f>
        <v/>
      </c>
      <c r="X16" s="31">
        <f>MAX(0,MIN(1,Anchor_Data!X16+Controls!$B$27))</f>
        <v/>
      </c>
      <c r="Y16" s="31">
        <f>MAX(0,Anchor_Data!Y16+Controls!$B$28)</f>
        <v/>
      </c>
      <c r="Z16" s="31">
        <f>MAX(0,Anchor_Data!Z16+Controls!$B$29)</f>
        <v/>
      </c>
      <c r="AA16" s="31">
        <f>MAX(0,Anchor_Data!AA16+Controls!$B$30)</f>
        <v/>
      </c>
      <c r="AB16" s="31">
        <f>MAX(0,MIN(1,Anchor_Data!AB16+Controls!$B$31))</f>
        <v/>
      </c>
      <c r="AC16" s="31">
        <f>Anchor_Data!AC16+Controls!$B$32</f>
        <v/>
      </c>
      <c r="AD16" s="32" t="n"/>
    </row>
  </sheetData>
  <mergeCells count="1">
    <mergeCell ref="A1:AC1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  <col width="28" customWidth="1" min="12" max="12"/>
  </cols>
  <sheetData>
    <row r="1">
      <c r="A1" s="1" t="inlineStr">
        <is>
          <t>Derived State: Beta &amp; Leadership</t>
        </is>
      </c>
    </row>
    <row r="3">
      <c r="A3" s="15" t="inlineStr">
        <is>
          <t>Date</t>
        </is>
      </c>
      <c r="B3" s="15" t="inlineStr">
        <is>
          <t>NVDA_Return</t>
        </is>
      </c>
      <c r="C3" s="15" t="inlineStr">
        <is>
          <t>ES_Return</t>
        </is>
      </c>
      <c r="D3" s="15" t="inlineStr">
        <is>
          <t>NQ_Return</t>
        </is>
      </c>
      <c r="E3" s="15" t="inlineStr">
        <is>
          <t>NVDA_vs_ES_Residual</t>
        </is>
      </c>
      <c r="F3" s="15" t="inlineStr">
        <is>
          <t>NVDA_vs_NQ_Residual</t>
        </is>
      </c>
      <c r="G3" s="15" t="inlineStr">
        <is>
          <t>NQ_vs_ES_Leadership</t>
        </is>
      </c>
      <c r="H3" s="15" t="inlineStr">
        <is>
          <t>SOX_vs_NQ_Leadership</t>
        </is>
      </c>
      <c r="I3" s="15" t="inlineStr">
        <is>
          <t>Tech_vs_ES_Leadership</t>
        </is>
      </c>
      <c r="J3" s="15" t="inlineStr">
        <is>
          <t>Breadth_Confirmation</t>
        </is>
      </c>
      <c r="K3" s="15" t="inlineStr">
        <is>
          <t>Beta_State_Score</t>
        </is>
      </c>
      <c r="L3" s="15" t="inlineStr">
        <is>
          <t>Comment</t>
        </is>
      </c>
    </row>
    <row r="4">
      <c r="A4" s="49">
        <f>Synthetic_Raw!A5</f>
        <v/>
      </c>
      <c r="B4" s="50" t="inlineStr"/>
      <c r="C4" s="50" t="inlineStr"/>
      <c r="D4" s="50" t="inlineStr"/>
      <c r="E4" s="50" t="inlineStr"/>
      <c r="F4" s="50" t="inlineStr"/>
      <c r="G4" s="50" t="inlineStr"/>
      <c r="H4" s="50" t="inlineStr"/>
      <c r="I4" s="50" t="inlineStr"/>
      <c r="J4" s="50" t="inlineStr"/>
      <c r="K4" s="51" t="inlineStr"/>
    </row>
    <row r="5">
      <c r="A5" s="46">
        <f>Synthetic_Raw!A6</f>
        <v/>
      </c>
      <c r="B5" s="48">
        <f>(Synthetic_Raw!B6/Synthetic_Raw!B5)-1</f>
        <v/>
      </c>
      <c r="C5" s="48">
        <f>(Synthetic_Raw!F6/Synthetic_Raw!F5)-1</f>
        <v/>
      </c>
      <c r="D5" s="48">
        <f>(Synthetic_Raw!G6/Synthetic_Raw!G5)-1</f>
        <v/>
      </c>
      <c r="E5" s="48">
        <f>B5-C5</f>
        <v/>
      </c>
      <c r="F5" s="48">
        <f>B5-D5</f>
        <v/>
      </c>
      <c r="G5" s="48">
        <f>D5-C5</f>
        <v/>
      </c>
      <c r="H5" s="48">
        <f>((Synthetic_Raw!I6/Synthetic_Raw!I5)-1)-D5</f>
        <v/>
      </c>
      <c r="I5" s="48">
        <f>((Synthetic_Raw!H6/Synthetic_Raw!H5)-1)-C5</f>
        <v/>
      </c>
      <c r="J5" s="48">
        <f>AVERAGE(Synthetic_Raw!T6:Synthetic_Raw!V6)</f>
        <v/>
      </c>
      <c r="K5" s="52">
        <f>0.35*F5+0.25*G5+0.20*H5+0.20*(J5-0.5)</f>
        <v/>
      </c>
      <c r="L5" s="5">
        <f>IF(K5&gt;0.03,"Positive beta / leadership state",IF(K5&lt;-0.03,"Weak beta / leadership state","Mixed beta state"))</f>
        <v/>
      </c>
    </row>
    <row r="6">
      <c r="A6" s="46">
        <f>Synthetic_Raw!A7</f>
        <v/>
      </c>
      <c r="B6" s="48">
        <f>(Synthetic_Raw!B7/Synthetic_Raw!B6)-1</f>
        <v/>
      </c>
      <c r="C6" s="48">
        <f>(Synthetic_Raw!F7/Synthetic_Raw!F6)-1</f>
        <v/>
      </c>
      <c r="D6" s="48">
        <f>(Synthetic_Raw!G7/Synthetic_Raw!G6)-1</f>
        <v/>
      </c>
      <c r="E6" s="48">
        <f>B6-C6</f>
        <v/>
      </c>
      <c r="F6" s="48">
        <f>B6-D6</f>
        <v/>
      </c>
      <c r="G6" s="48">
        <f>D6-C6</f>
        <v/>
      </c>
      <c r="H6" s="48">
        <f>((Synthetic_Raw!I7/Synthetic_Raw!I6)-1)-D6</f>
        <v/>
      </c>
      <c r="I6" s="48">
        <f>((Synthetic_Raw!H7/Synthetic_Raw!H6)-1)-C6</f>
        <v/>
      </c>
      <c r="J6" s="48">
        <f>AVERAGE(Synthetic_Raw!T7:Synthetic_Raw!V7)</f>
        <v/>
      </c>
      <c r="K6" s="52">
        <f>0.35*F6+0.25*G6+0.20*H6+0.20*(J6-0.5)</f>
        <v/>
      </c>
      <c r="L6" s="5">
        <f>IF(K6&gt;0.03,"Positive beta / leadership state",IF(K6&lt;-0.03,"Weak beta / leadership state","Mixed beta state"))</f>
        <v/>
      </c>
    </row>
    <row r="7">
      <c r="A7" s="46">
        <f>Synthetic_Raw!A8</f>
        <v/>
      </c>
      <c r="B7" s="48">
        <f>(Synthetic_Raw!B8/Synthetic_Raw!B7)-1</f>
        <v/>
      </c>
      <c r="C7" s="48">
        <f>(Synthetic_Raw!F8/Synthetic_Raw!F7)-1</f>
        <v/>
      </c>
      <c r="D7" s="48">
        <f>(Synthetic_Raw!G8/Synthetic_Raw!G7)-1</f>
        <v/>
      </c>
      <c r="E7" s="48">
        <f>B7-C7</f>
        <v/>
      </c>
      <c r="F7" s="48">
        <f>B7-D7</f>
        <v/>
      </c>
      <c r="G7" s="48">
        <f>D7-C7</f>
        <v/>
      </c>
      <c r="H7" s="48">
        <f>((Synthetic_Raw!I8/Synthetic_Raw!I7)-1)-D7</f>
        <v/>
      </c>
      <c r="I7" s="48">
        <f>((Synthetic_Raw!H8/Synthetic_Raw!H7)-1)-C7</f>
        <v/>
      </c>
      <c r="J7" s="48">
        <f>AVERAGE(Synthetic_Raw!T8:Synthetic_Raw!V8)</f>
        <v/>
      </c>
      <c r="K7" s="52">
        <f>0.35*F7+0.25*G7+0.20*H7+0.20*(J7-0.5)</f>
        <v/>
      </c>
      <c r="L7" s="5">
        <f>IF(K7&gt;0.03,"Positive beta / leadership state",IF(K7&lt;-0.03,"Weak beta / leadership state","Mixed beta state"))</f>
        <v/>
      </c>
    </row>
    <row r="8">
      <c r="A8" s="46">
        <f>Synthetic_Raw!A9</f>
        <v/>
      </c>
      <c r="B8" s="48">
        <f>(Synthetic_Raw!B9/Synthetic_Raw!B8)-1</f>
        <v/>
      </c>
      <c r="C8" s="48">
        <f>(Synthetic_Raw!F9/Synthetic_Raw!F8)-1</f>
        <v/>
      </c>
      <c r="D8" s="48">
        <f>(Synthetic_Raw!G9/Synthetic_Raw!G8)-1</f>
        <v/>
      </c>
      <c r="E8" s="48">
        <f>B8-C8</f>
        <v/>
      </c>
      <c r="F8" s="48">
        <f>B8-D8</f>
        <v/>
      </c>
      <c r="G8" s="48">
        <f>D8-C8</f>
        <v/>
      </c>
      <c r="H8" s="48">
        <f>((Synthetic_Raw!I9/Synthetic_Raw!I8)-1)-D8</f>
        <v/>
      </c>
      <c r="I8" s="48">
        <f>((Synthetic_Raw!H9/Synthetic_Raw!H8)-1)-C8</f>
        <v/>
      </c>
      <c r="J8" s="48">
        <f>AVERAGE(Synthetic_Raw!T9:Synthetic_Raw!V9)</f>
        <v/>
      </c>
      <c r="K8" s="52">
        <f>0.35*F8+0.25*G8+0.20*H8+0.20*(J8-0.5)</f>
        <v/>
      </c>
      <c r="L8" s="5">
        <f>IF(K8&gt;0.03,"Positive beta / leadership state",IF(K8&lt;-0.03,"Weak beta / leadership state","Mixed beta state"))</f>
        <v/>
      </c>
    </row>
    <row r="9">
      <c r="A9" s="46">
        <f>Synthetic_Raw!A10</f>
        <v/>
      </c>
      <c r="B9" s="48">
        <f>(Synthetic_Raw!B10/Synthetic_Raw!B9)-1</f>
        <v/>
      </c>
      <c r="C9" s="48">
        <f>(Synthetic_Raw!F10/Synthetic_Raw!F9)-1</f>
        <v/>
      </c>
      <c r="D9" s="48">
        <f>(Synthetic_Raw!G10/Synthetic_Raw!G9)-1</f>
        <v/>
      </c>
      <c r="E9" s="48">
        <f>B9-C9</f>
        <v/>
      </c>
      <c r="F9" s="48">
        <f>B9-D9</f>
        <v/>
      </c>
      <c r="G9" s="48">
        <f>D9-C9</f>
        <v/>
      </c>
      <c r="H9" s="48">
        <f>((Synthetic_Raw!I10/Synthetic_Raw!I9)-1)-D9</f>
        <v/>
      </c>
      <c r="I9" s="48">
        <f>((Synthetic_Raw!H10/Synthetic_Raw!H9)-1)-C9</f>
        <v/>
      </c>
      <c r="J9" s="48">
        <f>AVERAGE(Synthetic_Raw!T10:Synthetic_Raw!V10)</f>
        <v/>
      </c>
      <c r="K9" s="52">
        <f>0.35*F9+0.25*G9+0.20*H9+0.20*(J9-0.5)</f>
        <v/>
      </c>
      <c r="L9" s="5">
        <f>IF(K9&gt;0.03,"Positive beta / leadership state",IF(K9&lt;-0.03,"Weak beta / leadership state","Mixed beta state"))</f>
        <v/>
      </c>
    </row>
    <row r="10">
      <c r="A10" s="46">
        <f>Synthetic_Raw!A11</f>
        <v/>
      </c>
      <c r="B10" s="48">
        <f>(Synthetic_Raw!B11/Synthetic_Raw!B10)-1</f>
        <v/>
      </c>
      <c r="C10" s="48">
        <f>(Synthetic_Raw!F11/Synthetic_Raw!F10)-1</f>
        <v/>
      </c>
      <c r="D10" s="48">
        <f>(Synthetic_Raw!G11/Synthetic_Raw!G10)-1</f>
        <v/>
      </c>
      <c r="E10" s="48">
        <f>B10-C10</f>
        <v/>
      </c>
      <c r="F10" s="48">
        <f>B10-D10</f>
        <v/>
      </c>
      <c r="G10" s="48">
        <f>D10-C10</f>
        <v/>
      </c>
      <c r="H10" s="48">
        <f>((Synthetic_Raw!I11/Synthetic_Raw!I10)-1)-D10</f>
        <v/>
      </c>
      <c r="I10" s="48">
        <f>((Synthetic_Raw!H11/Synthetic_Raw!H10)-1)-C10</f>
        <v/>
      </c>
      <c r="J10" s="48">
        <f>AVERAGE(Synthetic_Raw!T11:Synthetic_Raw!V11)</f>
        <v/>
      </c>
      <c r="K10" s="52">
        <f>0.35*F10+0.25*G10+0.20*H10+0.20*(J10-0.5)</f>
        <v/>
      </c>
      <c r="L10" s="5">
        <f>IF(K10&gt;0.03,"Positive beta / leadership state",IF(K10&lt;-0.03,"Weak beta / leadership state","Mixed beta state"))</f>
        <v/>
      </c>
    </row>
    <row r="11">
      <c r="A11" s="46">
        <f>Synthetic_Raw!A12</f>
        <v/>
      </c>
      <c r="B11" s="48">
        <f>(Synthetic_Raw!B12/Synthetic_Raw!B11)-1</f>
        <v/>
      </c>
      <c r="C11" s="48">
        <f>(Synthetic_Raw!F12/Synthetic_Raw!F11)-1</f>
        <v/>
      </c>
      <c r="D11" s="48">
        <f>(Synthetic_Raw!G12/Synthetic_Raw!G11)-1</f>
        <v/>
      </c>
      <c r="E11" s="48">
        <f>B11-C11</f>
        <v/>
      </c>
      <c r="F11" s="48">
        <f>B11-D11</f>
        <v/>
      </c>
      <c r="G11" s="48">
        <f>D11-C11</f>
        <v/>
      </c>
      <c r="H11" s="48">
        <f>((Synthetic_Raw!I12/Synthetic_Raw!I11)-1)-D11</f>
        <v/>
      </c>
      <c r="I11" s="48">
        <f>((Synthetic_Raw!H12/Synthetic_Raw!H11)-1)-C11</f>
        <v/>
      </c>
      <c r="J11" s="48">
        <f>AVERAGE(Synthetic_Raw!T12:Synthetic_Raw!V12)</f>
        <v/>
      </c>
      <c r="K11" s="52">
        <f>0.35*F11+0.25*G11+0.20*H11+0.20*(J11-0.5)</f>
        <v/>
      </c>
      <c r="L11" s="5">
        <f>IF(K11&gt;0.03,"Positive beta / leadership state",IF(K11&lt;-0.03,"Weak beta / leadership state","Mixed beta state"))</f>
        <v/>
      </c>
    </row>
    <row r="12">
      <c r="A12" s="46">
        <f>Synthetic_Raw!A13</f>
        <v/>
      </c>
      <c r="B12" s="48">
        <f>(Synthetic_Raw!B13/Synthetic_Raw!B12)-1</f>
        <v/>
      </c>
      <c r="C12" s="48">
        <f>(Synthetic_Raw!F13/Synthetic_Raw!F12)-1</f>
        <v/>
      </c>
      <c r="D12" s="48">
        <f>(Synthetic_Raw!G13/Synthetic_Raw!G12)-1</f>
        <v/>
      </c>
      <c r="E12" s="48">
        <f>B12-C12</f>
        <v/>
      </c>
      <c r="F12" s="48">
        <f>B12-D12</f>
        <v/>
      </c>
      <c r="G12" s="48">
        <f>D12-C12</f>
        <v/>
      </c>
      <c r="H12" s="48">
        <f>((Synthetic_Raw!I13/Synthetic_Raw!I12)-1)-D12</f>
        <v/>
      </c>
      <c r="I12" s="48">
        <f>((Synthetic_Raw!H13/Synthetic_Raw!H12)-1)-C12</f>
        <v/>
      </c>
      <c r="J12" s="48">
        <f>AVERAGE(Synthetic_Raw!T13:Synthetic_Raw!V13)</f>
        <v/>
      </c>
      <c r="K12" s="52">
        <f>0.35*F12+0.25*G12+0.20*H12+0.20*(J12-0.5)</f>
        <v/>
      </c>
      <c r="L12" s="5">
        <f>IF(K12&gt;0.03,"Positive beta / leadership state",IF(K12&lt;-0.03,"Weak beta / leadership state","Mixed beta state"))</f>
        <v/>
      </c>
    </row>
    <row r="13">
      <c r="A13" s="46">
        <f>Synthetic_Raw!A14</f>
        <v/>
      </c>
      <c r="B13" s="48">
        <f>(Synthetic_Raw!B14/Synthetic_Raw!B13)-1</f>
        <v/>
      </c>
      <c r="C13" s="48">
        <f>(Synthetic_Raw!F14/Synthetic_Raw!F13)-1</f>
        <v/>
      </c>
      <c r="D13" s="48">
        <f>(Synthetic_Raw!G14/Synthetic_Raw!G13)-1</f>
        <v/>
      </c>
      <c r="E13" s="48">
        <f>B13-C13</f>
        <v/>
      </c>
      <c r="F13" s="48">
        <f>B13-D13</f>
        <v/>
      </c>
      <c r="G13" s="48">
        <f>D13-C13</f>
        <v/>
      </c>
      <c r="H13" s="48">
        <f>((Synthetic_Raw!I14/Synthetic_Raw!I13)-1)-D13</f>
        <v/>
      </c>
      <c r="I13" s="48">
        <f>((Synthetic_Raw!H14/Synthetic_Raw!H13)-1)-C13</f>
        <v/>
      </c>
      <c r="J13" s="48">
        <f>AVERAGE(Synthetic_Raw!T14:Synthetic_Raw!V14)</f>
        <v/>
      </c>
      <c r="K13" s="52">
        <f>0.35*F13+0.25*G13+0.20*H13+0.20*(J13-0.5)</f>
        <v/>
      </c>
      <c r="L13" s="5">
        <f>IF(K13&gt;0.03,"Positive beta / leadership state",IF(K13&lt;-0.03,"Weak beta / leadership state","Mixed beta state"))</f>
        <v/>
      </c>
    </row>
    <row r="14">
      <c r="A14" s="46">
        <f>Synthetic_Raw!A15</f>
        <v/>
      </c>
      <c r="B14" s="48">
        <f>(Synthetic_Raw!B15/Synthetic_Raw!B14)-1</f>
        <v/>
      </c>
      <c r="C14" s="48">
        <f>(Synthetic_Raw!F15/Synthetic_Raw!F14)-1</f>
        <v/>
      </c>
      <c r="D14" s="48">
        <f>(Synthetic_Raw!G15/Synthetic_Raw!G14)-1</f>
        <v/>
      </c>
      <c r="E14" s="48">
        <f>B14-C14</f>
        <v/>
      </c>
      <c r="F14" s="48">
        <f>B14-D14</f>
        <v/>
      </c>
      <c r="G14" s="48">
        <f>D14-C14</f>
        <v/>
      </c>
      <c r="H14" s="48">
        <f>((Synthetic_Raw!I15/Synthetic_Raw!I14)-1)-D14</f>
        <v/>
      </c>
      <c r="I14" s="48">
        <f>((Synthetic_Raw!H15/Synthetic_Raw!H14)-1)-C14</f>
        <v/>
      </c>
      <c r="J14" s="48">
        <f>AVERAGE(Synthetic_Raw!T15:Synthetic_Raw!V15)</f>
        <v/>
      </c>
      <c r="K14" s="52">
        <f>0.35*F14+0.25*G14+0.20*H14+0.20*(J14-0.5)</f>
        <v/>
      </c>
      <c r="L14" s="5">
        <f>IF(K14&gt;0.03,"Positive beta / leadership state",IF(K14&lt;-0.03,"Weak beta / leadership state","Mixed beta state"))</f>
        <v/>
      </c>
    </row>
    <row r="15">
      <c r="A15" s="46">
        <f>Synthetic_Raw!A16</f>
        <v/>
      </c>
      <c r="B15" s="48">
        <f>(Synthetic_Raw!B16/Synthetic_Raw!B15)-1</f>
        <v/>
      </c>
      <c r="C15" s="48">
        <f>(Synthetic_Raw!F16/Synthetic_Raw!F15)-1</f>
        <v/>
      </c>
      <c r="D15" s="48">
        <f>(Synthetic_Raw!G16/Synthetic_Raw!G15)-1</f>
        <v/>
      </c>
      <c r="E15" s="48">
        <f>B15-C15</f>
        <v/>
      </c>
      <c r="F15" s="48">
        <f>B15-D15</f>
        <v/>
      </c>
      <c r="G15" s="48">
        <f>D15-C15</f>
        <v/>
      </c>
      <c r="H15" s="48">
        <f>((Synthetic_Raw!I16/Synthetic_Raw!I15)-1)-D15</f>
        <v/>
      </c>
      <c r="I15" s="48">
        <f>((Synthetic_Raw!H16/Synthetic_Raw!H15)-1)-C15</f>
        <v/>
      </c>
      <c r="J15" s="48">
        <f>AVERAGE(Synthetic_Raw!T16:Synthetic_Raw!V16)</f>
        <v/>
      </c>
      <c r="K15" s="52">
        <f>0.35*F15+0.25*G15+0.20*H15+0.20*(J15-0.5)</f>
        <v/>
      </c>
      <c r="L15" s="5">
        <f>IF(K15&gt;0.03,"Positive beta / leadership state",IF(K15&lt;-0.03,"Weak beta / leadership state","Mixed beta state"))</f>
        <v/>
      </c>
    </row>
  </sheetData>
  <mergeCells count="1">
    <mergeCell ref="A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4" customWidth="1" min="11" max="11"/>
  </cols>
  <sheetData>
    <row r="1">
      <c r="A1" s="1" t="inlineStr">
        <is>
          <t>Derived State: Vol / Rates / FX</t>
        </is>
      </c>
    </row>
    <row r="3">
      <c r="A3" s="15" t="inlineStr">
        <is>
          <t>Date</t>
        </is>
      </c>
      <c r="B3" s="15" t="inlineStr">
        <is>
          <t>VIX9D_vs_VIX</t>
        </is>
      </c>
      <c r="C3" s="15" t="inlineStr">
        <is>
          <t>VVIX_vs_VIX</t>
        </is>
      </c>
      <c r="D3" s="15" t="inlineStr">
        <is>
          <t>Rate_Slope_10s2s_bp</t>
        </is>
      </c>
      <c r="E3" s="15" t="inlineStr">
        <is>
          <t>Rate_Shock</t>
        </is>
      </c>
      <c r="F3" s="15" t="inlineStr">
        <is>
          <t>USDJPY_Change</t>
        </is>
      </c>
      <c r="G3" s="15" t="inlineStr">
        <is>
          <t>Vol_Stress_Score</t>
        </is>
      </c>
      <c r="H3" s="15" t="inlineStr">
        <is>
          <t>Tail_Risk_Score</t>
        </is>
      </c>
      <c r="I3" s="15" t="inlineStr">
        <is>
          <t>Cross_Asset_Pressure</t>
        </is>
      </c>
      <c r="J3" s="15" t="inlineStr">
        <is>
          <t>Macro_Veto_Flag</t>
        </is>
      </c>
      <c r="K3" s="15" t="inlineStr">
        <is>
          <t>Comment</t>
        </is>
      </c>
    </row>
    <row r="4">
      <c r="A4" s="49">
        <f>Synthetic_Raw!A5</f>
        <v/>
      </c>
      <c r="B4" s="53" t="inlineStr"/>
      <c r="C4" s="50" t="inlineStr"/>
      <c r="D4" s="38" t="inlineStr"/>
      <c r="E4" s="38" t="inlineStr"/>
      <c r="F4" s="50" t="inlineStr"/>
      <c r="G4" s="32" t="inlineStr"/>
      <c r="H4" s="32" t="inlineStr"/>
      <c r="I4" s="39" t="inlineStr"/>
    </row>
    <row r="5">
      <c r="A5" s="46">
        <f>Synthetic_Raw!A6</f>
        <v/>
      </c>
      <c r="B5" s="47">
        <f>Synthetic_Raw!O6-Synthetic_Raw!M6</f>
        <v/>
      </c>
      <c r="C5" s="48">
        <f>(Synthetic_Raw!N6/Synthetic_Raw!M6)-1</f>
        <v/>
      </c>
      <c r="D5" s="29">
        <f>Synthetic_Raw!Q6-Synthetic_Raw!R6</f>
        <v/>
      </c>
      <c r="E5" s="29">
        <f>Synthetic_Raw!Q6-Synthetic_Raw!Q5</f>
        <v/>
      </c>
      <c r="F5" s="48">
        <f>(Synthetic_Raw!S6/Synthetic_Raw!S5)-1</f>
        <v/>
      </c>
      <c r="G5" s="31">
        <f>0.4*(B5/10)+0.3*C5+0.3*(Synthetic_Raw!M6/20)</f>
        <v/>
      </c>
      <c r="H5" s="31">
        <f>(Synthetic_Raw!P6-135)/20</f>
        <v/>
      </c>
      <c r="I5" s="40">
        <f>0.35*G5+0.35*(ABS(E5)/25)+0.30*ABS(F5)</f>
        <v/>
      </c>
      <c r="J5" s="5">
        <f>IF(OR(G5&gt;0.85,I5&gt;0.75,Synthetic_Raw!AC6=1),"VETO","OK")</f>
        <v/>
      </c>
      <c r="K5" s="5">
        <f>IF(J5="VETO","Macro / vol caution","Normal watch")</f>
        <v/>
      </c>
    </row>
    <row r="6">
      <c r="A6" s="46">
        <f>Synthetic_Raw!A7</f>
        <v/>
      </c>
      <c r="B6" s="47">
        <f>Synthetic_Raw!O7-Synthetic_Raw!M7</f>
        <v/>
      </c>
      <c r="C6" s="48">
        <f>(Synthetic_Raw!N7/Synthetic_Raw!M7)-1</f>
        <v/>
      </c>
      <c r="D6" s="29">
        <f>Synthetic_Raw!Q7-Synthetic_Raw!R7</f>
        <v/>
      </c>
      <c r="E6" s="29">
        <f>Synthetic_Raw!Q7-Synthetic_Raw!Q6</f>
        <v/>
      </c>
      <c r="F6" s="48">
        <f>(Synthetic_Raw!S7/Synthetic_Raw!S6)-1</f>
        <v/>
      </c>
      <c r="G6" s="31">
        <f>0.4*(B6/10)+0.3*C6+0.3*(Synthetic_Raw!M7/20)</f>
        <v/>
      </c>
      <c r="H6" s="31">
        <f>(Synthetic_Raw!P7-135)/20</f>
        <v/>
      </c>
      <c r="I6" s="40">
        <f>0.35*G6+0.35*(ABS(E6)/25)+0.30*ABS(F6)</f>
        <v/>
      </c>
      <c r="J6" s="5">
        <f>IF(OR(G6&gt;0.85,I6&gt;0.75,Synthetic_Raw!AC7=1),"VETO","OK")</f>
        <v/>
      </c>
      <c r="K6" s="5">
        <f>IF(J6="VETO","Macro / vol caution","Normal watch")</f>
        <v/>
      </c>
    </row>
    <row r="7">
      <c r="A7" s="46">
        <f>Synthetic_Raw!A8</f>
        <v/>
      </c>
      <c r="B7" s="47">
        <f>Synthetic_Raw!O8-Synthetic_Raw!M8</f>
        <v/>
      </c>
      <c r="C7" s="48">
        <f>(Synthetic_Raw!N8/Synthetic_Raw!M8)-1</f>
        <v/>
      </c>
      <c r="D7" s="29">
        <f>Synthetic_Raw!Q8-Synthetic_Raw!R8</f>
        <v/>
      </c>
      <c r="E7" s="29">
        <f>Synthetic_Raw!Q8-Synthetic_Raw!Q7</f>
        <v/>
      </c>
      <c r="F7" s="48">
        <f>(Synthetic_Raw!S8/Synthetic_Raw!S7)-1</f>
        <v/>
      </c>
      <c r="G7" s="31">
        <f>0.4*(B7/10)+0.3*C7+0.3*(Synthetic_Raw!M8/20)</f>
        <v/>
      </c>
      <c r="H7" s="31">
        <f>(Synthetic_Raw!P8-135)/20</f>
        <v/>
      </c>
      <c r="I7" s="40">
        <f>0.35*G7+0.35*(ABS(E7)/25)+0.30*ABS(F7)</f>
        <v/>
      </c>
      <c r="J7" s="5">
        <f>IF(OR(G7&gt;0.85,I7&gt;0.75,Synthetic_Raw!AC8=1),"VETO","OK")</f>
        <v/>
      </c>
      <c r="K7" s="5">
        <f>IF(J7="VETO","Macro / vol caution","Normal watch")</f>
        <v/>
      </c>
    </row>
    <row r="8">
      <c r="A8" s="46">
        <f>Synthetic_Raw!A9</f>
        <v/>
      </c>
      <c r="B8" s="47">
        <f>Synthetic_Raw!O9-Synthetic_Raw!M9</f>
        <v/>
      </c>
      <c r="C8" s="48">
        <f>(Synthetic_Raw!N9/Synthetic_Raw!M9)-1</f>
        <v/>
      </c>
      <c r="D8" s="29">
        <f>Synthetic_Raw!Q9-Synthetic_Raw!R9</f>
        <v/>
      </c>
      <c r="E8" s="29">
        <f>Synthetic_Raw!Q9-Synthetic_Raw!Q8</f>
        <v/>
      </c>
      <c r="F8" s="48">
        <f>(Synthetic_Raw!S9/Synthetic_Raw!S8)-1</f>
        <v/>
      </c>
      <c r="G8" s="31">
        <f>0.4*(B8/10)+0.3*C8+0.3*(Synthetic_Raw!M9/20)</f>
        <v/>
      </c>
      <c r="H8" s="31">
        <f>(Synthetic_Raw!P9-135)/20</f>
        <v/>
      </c>
      <c r="I8" s="40">
        <f>0.35*G8+0.35*(ABS(E8)/25)+0.30*ABS(F8)</f>
        <v/>
      </c>
      <c r="J8" s="5">
        <f>IF(OR(G8&gt;0.85,I8&gt;0.75,Synthetic_Raw!AC9=1),"VETO","OK")</f>
        <v/>
      </c>
      <c r="K8" s="5">
        <f>IF(J8="VETO","Macro / vol caution","Normal watch")</f>
        <v/>
      </c>
    </row>
    <row r="9">
      <c r="A9" s="46">
        <f>Synthetic_Raw!A10</f>
        <v/>
      </c>
      <c r="B9" s="47">
        <f>Synthetic_Raw!O10-Synthetic_Raw!M10</f>
        <v/>
      </c>
      <c r="C9" s="48">
        <f>(Synthetic_Raw!N10/Synthetic_Raw!M10)-1</f>
        <v/>
      </c>
      <c r="D9" s="29">
        <f>Synthetic_Raw!Q10-Synthetic_Raw!R10</f>
        <v/>
      </c>
      <c r="E9" s="29">
        <f>Synthetic_Raw!Q10-Synthetic_Raw!Q9</f>
        <v/>
      </c>
      <c r="F9" s="48">
        <f>(Synthetic_Raw!S10/Synthetic_Raw!S9)-1</f>
        <v/>
      </c>
      <c r="G9" s="31">
        <f>0.4*(B9/10)+0.3*C9+0.3*(Synthetic_Raw!M10/20)</f>
        <v/>
      </c>
      <c r="H9" s="31">
        <f>(Synthetic_Raw!P10-135)/20</f>
        <v/>
      </c>
      <c r="I9" s="40">
        <f>0.35*G9+0.35*(ABS(E9)/25)+0.30*ABS(F9)</f>
        <v/>
      </c>
      <c r="J9" s="5">
        <f>IF(OR(G9&gt;0.85,I9&gt;0.75,Synthetic_Raw!AC10=1),"VETO","OK")</f>
        <v/>
      </c>
      <c r="K9" s="5">
        <f>IF(J9="VETO","Macro / vol caution","Normal watch")</f>
        <v/>
      </c>
    </row>
    <row r="10">
      <c r="A10" s="46">
        <f>Synthetic_Raw!A11</f>
        <v/>
      </c>
      <c r="B10" s="47">
        <f>Synthetic_Raw!O11-Synthetic_Raw!M11</f>
        <v/>
      </c>
      <c r="C10" s="48">
        <f>(Synthetic_Raw!N11/Synthetic_Raw!M11)-1</f>
        <v/>
      </c>
      <c r="D10" s="29">
        <f>Synthetic_Raw!Q11-Synthetic_Raw!R11</f>
        <v/>
      </c>
      <c r="E10" s="29">
        <f>Synthetic_Raw!Q11-Synthetic_Raw!Q10</f>
        <v/>
      </c>
      <c r="F10" s="48">
        <f>(Synthetic_Raw!S11/Synthetic_Raw!S10)-1</f>
        <v/>
      </c>
      <c r="G10" s="31">
        <f>0.4*(B10/10)+0.3*C10+0.3*(Synthetic_Raw!M11/20)</f>
        <v/>
      </c>
      <c r="H10" s="31">
        <f>(Synthetic_Raw!P11-135)/20</f>
        <v/>
      </c>
      <c r="I10" s="40">
        <f>0.35*G10+0.35*(ABS(E10)/25)+0.30*ABS(F10)</f>
        <v/>
      </c>
      <c r="J10" s="5">
        <f>IF(OR(G10&gt;0.85,I10&gt;0.75,Synthetic_Raw!AC11=1),"VETO","OK")</f>
        <v/>
      </c>
      <c r="K10" s="5">
        <f>IF(J10="VETO","Macro / vol caution","Normal watch")</f>
        <v/>
      </c>
    </row>
    <row r="11">
      <c r="A11" s="46">
        <f>Synthetic_Raw!A12</f>
        <v/>
      </c>
      <c r="B11" s="47">
        <f>Synthetic_Raw!O12-Synthetic_Raw!M12</f>
        <v/>
      </c>
      <c r="C11" s="48">
        <f>(Synthetic_Raw!N12/Synthetic_Raw!M12)-1</f>
        <v/>
      </c>
      <c r="D11" s="29">
        <f>Synthetic_Raw!Q12-Synthetic_Raw!R12</f>
        <v/>
      </c>
      <c r="E11" s="29">
        <f>Synthetic_Raw!Q12-Synthetic_Raw!Q11</f>
        <v/>
      </c>
      <c r="F11" s="48">
        <f>(Synthetic_Raw!S12/Synthetic_Raw!S11)-1</f>
        <v/>
      </c>
      <c r="G11" s="31">
        <f>0.4*(B11/10)+0.3*C11+0.3*(Synthetic_Raw!M12/20)</f>
        <v/>
      </c>
      <c r="H11" s="31">
        <f>(Synthetic_Raw!P12-135)/20</f>
        <v/>
      </c>
      <c r="I11" s="40">
        <f>0.35*G11+0.35*(ABS(E11)/25)+0.30*ABS(F11)</f>
        <v/>
      </c>
      <c r="J11" s="5">
        <f>IF(OR(G11&gt;0.85,I11&gt;0.75,Synthetic_Raw!AC12=1),"VETO","OK")</f>
        <v/>
      </c>
      <c r="K11" s="5">
        <f>IF(J11="VETO","Macro / vol caution","Normal watch")</f>
        <v/>
      </c>
    </row>
    <row r="12">
      <c r="A12" s="46">
        <f>Synthetic_Raw!A13</f>
        <v/>
      </c>
      <c r="B12" s="47">
        <f>Synthetic_Raw!O13-Synthetic_Raw!M13</f>
        <v/>
      </c>
      <c r="C12" s="48">
        <f>(Synthetic_Raw!N13/Synthetic_Raw!M13)-1</f>
        <v/>
      </c>
      <c r="D12" s="29">
        <f>Synthetic_Raw!Q13-Synthetic_Raw!R13</f>
        <v/>
      </c>
      <c r="E12" s="29">
        <f>Synthetic_Raw!Q13-Synthetic_Raw!Q12</f>
        <v/>
      </c>
      <c r="F12" s="48">
        <f>(Synthetic_Raw!S13/Synthetic_Raw!S12)-1</f>
        <v/>
      </c>
      <c r="G12" s="31">
        <f>0.4*(B12/10)+0.3*C12+0.3*(Synthetic_Raw!M13/20)</f>
        <v/>
      </c>
      <c r="H12" s="31">
        <f>(Synthetic_Raw!P13-135)/20</f>
        <v/>
      </c>
      <c r="I12" s="40">
        <f>0.35*G12+0.35*(ABS(E12)/25)+0.30*ABS(F12)</f>
        <v/>
      </c>
      <c r="J12" s="5">
        <f>IF(OR(G12&gt;0.85,I12&gt;0.75,Synthetic_Raw!AC13=1),"VETO","OK")</f>
        <v/>
      </c>
      <c r="K12" s="5">
        <f>IF(J12="VETO","Macro / vol caution","Normal watch")</f>
        <v/>
      </c>
    </row>
    <row r="13">
      <c r="A13" s="46">
        <f>Synthetic_Raw!A14</f>
        <v/>
      </c>
      <c r="B13" s="47">
        <f>Synthetic_Raw!O14-Synthetic_Raw!M14</f>
        <v/>
      </c>
      <c r="C13" s="48">
        <f>(Synthetic_Raw!N14/Synthetic_Raw!M14)-1</f>
        <v/>
      </c>
      <c r="D13" s="29">
        <f>Synthetic_Raw!Q14-Synthetic_Raw!R14</f>
        <v/>
      </c>
      <c r="E13" s="29">
        <f>Synthetic_Raw!Q14-Synthetic_Raw!Q13</f>
        <v/>
      </c>
      <c r="F13" s="48">
        <f>(Synthetic_Raw!S14/Synthetic_Raw!S13)-1</f>
        <v/>
      </c>
      <c r="G13" s="31">
        <f>0.4*(B13/10)+0.3*C13+0.3*(Synthetic_Raw!M14/20)</f>
        <v/>
      </c>
      <c r="H13" s="31">
        <f>(Synthetic_Raw!P14-135)/20</f>
        <v/>
      </c>
      <c r="I13" s="40">
        <f>0.35*G13+0.35*(ABS(E13)/25)+0.30*ABS(F13)</f>
        <v/>
      </c>
      <c r="J13" s="5">
        <f>IF(OR(G13&gt;0.85,I13&gt;0.75,Synthetic_Raw!AC14=1),"VETO","OK")</f>
        <v/>
      </c>
      <c r="K13" s="5">
        <f>IF(J13="VETO","Macro / vol caution","Normal watch")</f>
        <v/>
      </c>
    </row>
    <row r="14">
      <c r="A14" s="46">
        <f>Synthetic_Raw!A15</f>
        <v/>
      </c>
      <c r="B14" s="47">
        <f>Synthetic_Raw!O15-Synthetic_Raw!M15</f>
        <v/>
      </c>
      <c r="C14" s="48">
        <f>(Synthetic_Raw!N15/Synthetic_Raw!M15)-1</f>
        <v/>
      </c>
      <c r="D14" s="29">
        <f>Synthetic_Raw!Q15-Synthetic_Raw!R15</f>
        <v/>
      </c>
      <c r="E14" s="29">
        <f>Synthetic_Raw!Q15-Synthetic_Raw!Q14</f>
        <v/>
      </c>
      <c r="F14" s="48">
        <f>(Synthetic_Raw!S15/Synthetic_Raw!S14)-1</f>
        <v/>
      </c>
      <c r="G14" s="31">
        <f>0.4*(B14/10)+0.3*C14+0.3*(Synthetic_Raw!M15/20)</f>
        <v/>
      </c>
      <c r="H14" s="31">
        <f>(Synthetic_Raw!P15-135)/20</f>
        <v/>
      </c>
      <c r="I14" s="40">
        <f>0.35*G14+0.35*(ABS(E14)/25)+0.30*ABS(F14)</f>
        <v/>
      </c>
      <c r="J14" s="5">
        <f>IF(OR(G14&gt;0.85,I14&gt;0.75,Synthetic_Raw!AC15=1),"VETO","OK")</f>
        <v/>
      </c>
      <c r="K14" s="5">
        <f>IF(J14="VETO","Macro / vol caution","Normal watch")</f>
        <v/>
      </c>
    </row>
    <row r="15">
      <c r="A15" s="46">
        <f>Synthetic_Raw!A16</f>
        <v/>
      </c>
      <c r="B15" s="47">
        <f>Synthetic_Raw!O16-Synthetic_Raw!M16</f>
        <v/>
      </c>
      <c r="C15" s="48">
        <f>(Synthetic_Raw!N16/Synthetic_Raw!M16)-1</f>
        <v/>
      </c>
      <c r="D15" s="29">
        <f>Synthetic_Raw!Q16-Synthetic_Raw!R16</f>
        <v/>
      </c>
      <c r="E15" s="29">
        <f>Synthetic_Raw!Q16-Synthetic_Raw!Q15</f>
        <v/>
      </c>
      <c r="F15" s="48">
        <f>(Synthetic_Raw!S16/Synthetic_Raw!S15)-1</f>
        <v/>
      </c>
      <c r="G15" s="31">
        <f>0.4*(B15/10)+0.3*C15+0.3*(Synthetic_Raw!M16/20)</f>
        <v/>
      </c>
      <c r="H15" s="31">
        <f>(Synthetic_Raw!P16-135)/20</f>
        <v/>
      </c>
      <c r="I15" s="40">
        <f>0.35*G15+0.35*(ABS(E15)/25)+0.30*ABS(F15)</f>
        <v/>
      </c>
      <c r="J15" s="5">
        <f>IF(OR(G15&gt;0.85,I15&gt;0.75,Synthetic_Raw!AC16=1),"VETO","OK")</f>
        <v/>
      </c>
      <c r="K15" s="5">
        <f>IF(J15="VETO","Macro / vol caution","Normal watch")</f>
        <v/>
      </c>
    </row>
  </sheetData>
  <mergeCells count="1">
    <mergeCell ref="A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2" customWidth="1" min="12" max="12"/>
    <col width="26" customWidth="1" min="13" max="13"/>
  </cols>
  <sheetData>
    <row r="1">
      <c r="A1" s="1" t="inlineStr">
        <is>
          <t>Derived State: Execution &amp; Options Pressure</t>
        </is>
      </c>
    </row>
    <row r="3">
      <c r="A3" s="15" t="inlineStr">
        <is>
          <t>Date</t>
        </is>
      </c>
      <c r="B3" s="15" t="inlineStr">
        <is>
          <t>Range_Pct</t>
        </is>
      </c>
      <c r="C3" s="15" t="inlineStr">
        <is>
          <t>Rel_Volume</t>
        </is>
      </c>
      <c r="D3" s="15" t="inlineStr">
        <is>
          <t>Gamma_Pressure</t>
        </is>
      </c>
      <c r="E3" s="15" t="inlineStr">
        <is>
          <t>Flow_Bias</t>
        </is>
      </c>
      <c r="F3" s="15" t="inlineStr">
        <is>
          <t>IV_vs_RV</t>
        </is>
      </c>
      <c r="G3" s="15" t="inlineStr">
        <is>
          <t>Term_Stress</t>
        </is>
      </c>
      <c r="H3" s="15" t="inlineStr">
        <is>
          <t>Skew_Stress</t>
        </is>
      </c>
      <c r="I3" s="15" t="inlineStr">
        <is>
          <t>Dealer_Destab</t>
        </is>
      </c>
      <c r="J3" s="15" t="inlineStr">
        <is>
          <t>Squeeze_Proxy</t>
        </is>
      </c>
      <c r="K3" s="15" t="inlineStr">
        <is>
          <t>Pin_Risk_Proxy</t>
        </is>
      </c>
      <c r="L3" s="15" t="inlineStr">
        <is>
          <t>Execution_Context</t>
        </is>
      </c>
      <c r="M3" s="15" t="inlineStr">
        <is>
          <t>Comment</t>
        </is>
      </c>
    </row>
    <row r="4">
      <c r="A4" s="49">
        <f>Synthetic_Raw!A5</f>
        <v/>
      </c>
      <c r="B4" s="32">
        <f>(Synthetic_Raw!C5-Synthetic_Raw!D5)/Synthetic_Raw!B5</f>
        <v/>
      </c>
      <c r="C4" s="32">
        <f>Synthetic_Raw!E5/AVERAGE(Synthetic_Raw!$E$5:Synthetic_Raw!E5)</f>
        <v/>
      </c>
      <c r="D4" s="32">
        <f>Synthetic_Raw!W5*Synthetic_Raw!X5</f>
        <v/>
      </c>
      <c r="E4" s="32">
        <f>Synthetic_Raw!AB5</f>
        <v/>
      </c>
      <c r="F4" s="32">
        <f>Synthetic_Raw!Y5-Synthetic_Raw!AC5</f>
        <v/>
      </c>
      <c r="G4" s="32">
        <f>Synthetic_Raw!Z5</f>
        <v/>
      </c>
      <c r="H4" s="32">
        <f>Synthetic_Raw!AA5</f>
        <v/>
      </c>
      <c r="I4" s="32">
        <f>-1*Synthetic_Raw!W5</f>
        <v/>
      </c>
      <c r="J4" s="39">
        <f>0.30*I4+0.25*D4+0.20*E4+0.15*F4+0.10*C4</f>
        <v/>
      </c>
      <c r="K4" s="32">
        <f>0.50*ABS(D4)+0.30*Synthetic_Raw!X5+0.20*ABS(G4)</f>
        <v/>
      </c>
      <c r="L4" s="32">
        <f>0.35*C4+0.20*(1-ABS(B4-0.08))+0.25*MAX(0,J4)+0.20*(1-MIN(1,ABS(Synthetic_Raw!AC5)))</f>
        <v/>
      </c>
      <c r="M4">
        <f>IF(J4&gt;0.35,"Possible squeeze regime",IF(K4&gt;0.45,"Pin / strike gravity risk","Normal execution state"))</f>
        <v/>
      </c>
    </row>
    <row r="5">
      <c r="A5" s="46">
        <f>Synthetic_Raw!A6</f>
        <v/>
      </c>
      <c r="B5" s="31">
        <f>(Synthetic_Raw!C6-Synthetic_Raw!D6)/Synthetic_Raw!B6</f>
        <v/>
      </c>
      <c r="C5" s="31">
        <f>Synthetic_Raw!E6/AVERAGE(Synthetic_Raw!$E$5:Synthetic_Raw!E6)</f>
        <v/>
      </c>
      <c r="D5" s="31">
        <f>Synthetic_Raw!W6*Synthetic_Raw!X6</f>
        <v/>
      </c>
      <c r="E5" s="31">
        <f>Synthetic_Raw!AB6</f>
        <v/>
      </c>
      <c r="F5" s="31">
        <f>Synthetic_Raw!Y6-Synthetic_Raw!AC6</f>
        <v/>
      </c>
      <c r="G5" s="31">
        <f>Synthetic_Raw!Z6</f>
        <v/>
      </c>
      <c r="H5" s="31">
        <f>Synthetic_Raw!AA6</f>
        <v/>
      </c>
      <c r="I5" s="31">
        <f>-1*Synthetic_Raw!W6</f>
        <v/>
      </c>
      <c r="J5" s="40">
        <f>0.30*I5+0.25*D5+0.20*E5+0.15*F5+0.10*C5</f>
        <v/>
      </c>
      <c r="K5" s="31">
        <f>0.50*ABS(D5)+0.30*Synthetic_Raw!X6+0.20*ABS(G5)</f>
        <v/>
      </c>
      <c r="L5" s="31">
        <f>0.35*C5+0.20*(1-ABS(B5-0.08))+0.25*MAX(0,J5)+0.20*(1-MIN(1,ABS(Synthetic_Raw!AC6)))</f>
        <v/>
      </c>
      <c r="M5" s="5">
        <f>IF(J5&gt;0.35,"Possible squeeze regime",IF(K5&gt;0.45,"Pin / strike gravity risk","Normal execution state"))</f>
        <v/>
      </c>
    </row>
    <row r="6">
      <c r="A6" s="46">
        <f>Synthetic_Raw!A7</f>
        <v/>
      </c>
      <c r="B6" s="31">
        <f>(Synthetic_Raw!C7-Synthetic_Raw!D7)/Synthetic_Raw!B7</f>
        <v/>
      </c>
      <c r="C6" s="31">
        <f>Synthetic_Raw!E7/AVERAGE(Synthetic_Raw!$E$5:Synthetic_Raw!E7)</f>
        <v/>
      </c>
      <c r="D6" s="31">
        <f>Synthetic_Raw!W7*Synthetic_Raw!X7</f>
        <v/>
      </c>
      <c r="E6" s="31">
        <f>Synthetic_Raw!AB7</f>
        <v/>
      </c>
      <c r="F6" s="31">
        <f>Synthetic_Raw!Y7-Synthetic_Raw!AC7</f>
        <v/>
      </c>
      <c r="G6" s="31">
        <f>Synthetic_Raw!Z7</f>
        <v/>
      </c>
      <c r="H6" s="31">
        <f>Synthetic_Raw!AA7</f>
        <v/>
      </c>
      <c r="I6" s="31">
        <f>-1*Synthetic_Raw!W7</f>
        <v/>
      </c>
      <c r="J6" s="40">
        <f>0.30*I6+0.25*D6+0.20*E6+0.15*F6+0.10*C6</f>
        <v/>
      </c>
      <c r="K6" s="31">
        <f>0.50*ABS(D6)+0.30*Synthetic_Raw!X7+0.20*ABS(G6)</f>
        <v/>
      </c>
      <c r="L6" s="31">
        <f>0.35*C6+0.20*(1-ABS(B6-0.08))+0.25*MAX(0,J6)+0.20*(1-MIN(1,ABS(Synthetic_Raw!AC7)))</f>
        <v/>
      </c>
      <c r="M6" s="5">
        <f>IF(J6&gt;0.35,"Possible squeeze regime",IF(K6&gt;0.45,"Pin / strike gravity risk","Normal execution state"))</f>
        <v/>
      </c>
    </row>
    <row r="7">
      <c r="A7" s="46">
        <f>Synthetic_Raw!A8</f>
        <v/>
      </c>
      <c r="B7" s="31">
        <f>(Synthetic_Raw!C8-Synthetic_Raw!D8)/Synthetic_Raw!B8</f>
        <v/>
      </c>
      <c r="C7" s="31">
        <f>Synthetic_Raw!E8/AVERAGE(Synthetic_Raw!$E$5:Synthetic_Raw!E8)</f>
        <v/>
      </c>
      <c r="D7" s="31">
        <f>Synthetic_Raw!W8*Synthetic_Raw!X8</f>
        <v/>
      </c>
      <c r="E7" s="31">
        <f>Synthetic_Raw!AB8</f>
        <v/>
      </c>
      <c r="F7" s="31">
        <f>Synthetic_Raw!Y8-Synthetic_Raw!AC8</f>
        <v/>
      </c>
      <c r="G7" s="31">
        <f>Synthetic_Raw!Z8</f>
        <v/>
      </c>
      <c r="H7" s="31">
        <f>Synthetic_Raw!AA8</f>
        <v/>
      </c>
      <c r="I7" s="31">
        <f>-1*Synthetic_Raw!W8</f>
        <v/>
      </c>
      <c r="J7" s="40">
        <f>0.30*I7+0.25*D7+0.20*E7+0.15*F7+0.10*C7</f>
        <v/>
      </c>
      <c r="K7" s="31">
        <f>0.50*ABS(D7)+0.30*Synthetic_Raw!X8+0.20*ABS(G7)</f>
        <v/>
      </c>
      <c r="L7" s="31">
        <f>0.35*C7+0.20*(1-ABS(B7-0.08))+0.25*MAX(0,J7)+0.20*(1-MIN(1,ABS(Synthetic_Raw!AC8)))</f>
        <v/>
      </c>
      <c r="M7" s="5">
        <f>IF(J7&gt;0.35,"Possible squeeze regime",IF(K7&gt;0.45,"Pin / strike gravity risk","Normal execution state"))</f>
        <v/>
      </c>
    </row>
    <row r="8">
      <c r="A8" s="46">
        <f>Synthetic_Raw!A9</f>
        <v/>
      </c>
      <c r="B8" s="31">
        <f>(Synthetic_Raw!C9-Synthetic_Raw!D9)/Synthetic_Raw!B9</f>
        <v/>
      </c>
      <c r="C8" s="31">
        <f>Synthetic_Raw!E9/AVERAGE(Synthetic_Raw!$E$5:Synthetic_Raw!E9)</f>
        <v/>
      </c>
      <c r="D8" s="31">
        <f>Synthetic_Raw!W9*Synthetic_Raw!X9</f>
        <v/>
      </c>
      <c r="E8" s="31">
        <f>Synthetic_Raw!AB9</f>
        <v/>
      </c>
      <c r="F8" s="31">
        <f>Synthetic_Raw!Y9-Synthetic_Raw!AC9</f>
        <v/>
      </c>
      <c r="G8" s="31">
        <f>Synthetic_Raw!Z9</f>
        <v/>
      </c>
      <c r="H8" s="31">
        <f>Synthetic_Raw!AA9</f>
        <v/>
      </c>
      <c r="I8" s="31">
        <f>-1*Synthetic_Raw!W9</f>
        <v/>
      </c>
      <c r="J8" s="40">
        <f>0.30*I8+0.25*D8+0.20*E8+0.15*F8+0.10*C8</f>
        <v/>
      </c>
      <c r="K8" s="31">
        <f>0.50*ABS(D8)+0.30*Synthetic_Raw!X9+0.20*ABS(G8)</f>
        <v/>
      </c>
      <c r="L8" s="31">
        <f>0.35*C8+0.20*(1-ABS(B8-0.08))+0.25*MAX(0,J8)+0.20*(1-MIN(1,ABS(Synthetic_Raw!AC9)))</f>
        <v/>
      </c>
      <c r="M8" s="5">
        <f>IF(J8&gt;0.35,"Possible squeeze regime",IF(K8&gt;0.45,"Pin / strike gravity risk","Normal execution state"))</f>
        <v/>
      </c>
    </row>
    <row r="9">
      <c r="A9" s="46">
        <f>Synthetic_Raw!A10</f>
        <v/>
      </c>
      <c r="B9" s="31">
        <f>(Synthetic_Raw!C10-Synthetic_Raw!D10)/Synthetic_Raw!B10</f>
        <v/>
      </c>
      <c r="C9" s="31">
        <f>Synthetic_Raw!E10/AVERAGE(Synthetic_Raw!$E$5:Synthetic_Raw!E10)</f>
        <v/>
      </c>
      <c r="D9" s="31">
        <f>Synthetic_Raw!W10*Synthetic_Raw!X10</f>
        <v/>
      </c>
      <c r="E9" s="31">
        <f>Synthetic_Raw!AB10</f>
        <v/>
      </c>
      <c r="F9" s="31">
        <f>Synthetic_Raw!Y10-Synthetic_Raw!AC10</f>
        <v/>
      </c>
      <c r="G9" s="31">
        <f>Synthetic_Raw!Z10</f>
        <v/>
      </c>
      <c r="H9" s="31">
        <f>Synthetic_Raw!AA10</f>
        <v/>
      </c>
      <c r="I9" s="31">
        <f>-1*Synthetic_Raw!W10</f>
        <v/>
      </c>
      <c r="J9" s="40">
        <f>0.30*I9+0.25*D9+0.20*E9+0.15*F9+0.10*C9</f>
        <v/>
      </c>
      <c r="K9" s="31">
        <f>0.50*ABS(D9)+0.30*Synthetic_Raw!X10+0.20*ABS(G9)</f>
        <v/>
      </c>
      <c r="L9" s="31">
        <f>0.35*C9+0.20*(1-ABS(B9-0.08))+0.25*MAX(0,J9)+0.20*(1-MIN(1,ABS(Synthetic_Raw!AC10)))</f>
        <v/>
      </c>
      <c r="M9" s="5">
        <f>IF(J9&gt;0.35,"Possible squeeze regime",IF(K9&gt;0.45,"Pin / strike gravity risk","Normal execution state"))</f>
        <v/>
      </c>
    </row>
    <row r="10">
      <c r="A10" s="46">
        <f>Synthetic_Raw!A11</f>
        <v/>
      </c>
      <c r="B10" s="31">
        <f>(Synthetic_Raw!C11-Synthetic_Raw!D11)/Synthetic_Raw!B11</f>
        <v/>
      </c>
      <c r="C10" s="31">
        <f>Synthetic_Raw!E11/AVERAGE(Synthetic_Raw!$E$5:Synthetic_Raw!E11)</f>
        <v/>
      </c>
      <c r="D10" s="31">
        <f>Synthetic_Raw!W11*Synthetic_Raw!X11</f>
        <v/>
      </c>
      <c r="E10" s="31">
        <f>Synthetic_Raw!AB11</f>
        <v/>
      </c>
      <c r="F10" s="31">
        <f>Synthetic_Raw!Y11-Synthetic_Raw!AC11</f>
        <v/>
      </c>
      <c r="G10" s="31">
        <f>Synthetic_Raw!Z11</f>
        <v/>
      </c>
      <c r="H10" s="31">
        <f>Synthetic_Raw!AA11</f>
        <v/>
      </c>
      <c r="I10" s="31">
        <f>-1*Synthetic_Raw!W11</f>
        <v/>
      </c>
      <c r="J10" s="40">
        <f>0.30*I10+0.25*D10+0.20*E10+0.15*F10+0.10*C10</f>
        <v/>
      </c>
      <c r="K10" s="31">
        <f>0.50*ABS(D10)+0.30*Synthetic_Raw!X11+0.20*ABS(G10)</f>
        <v/>
      </c>
      <c r="L10" s="31">
        <f>0.35*C10+0.20*(1-ABS(B10-0.08))+0.25*MAX(0,J10)+0.20*(1-MIN(1,ABS(Synthetic_Raw!AC11)))</f>
        <v/>
      </c>
      <c r="M10" s="5">
        <f>IF(J10&gt;0.35,"Possible squeeze regime",IF(K10&gt;0.45,"Pin / strike gravity risk","Normal execution state"))</f>
        <v/>
      </c>
    </row>
    <row r="11">
      <c r="A11" s="46">
        <f>Synthetic_Raw!A12</f>
        <v/>
      </c>
      <c r="B11" s="31">
        <f>(Synthetic_Raw!C12-Synthetic_Raw!D12)/Synthetic_Raw!B12</f>
        <v/>
      </c>
      <c r="C11" s="31">
        <f>Synthetic_Raw!E12/AVERAGE(Synthetic_Raw!$E$5:Synthetic_Raw!E12)</f>
        <v/>
      </c>
      <c r="D11" s="31">
        <f>Synthetic_Raw!W12*Synthetic_Raw!X12</f>
        <v/>
      </c>
      <c r="E11" s="31">
        <f>Synthetic_Raw!AB12</f>
        <v/>
      </c>
      <c r="F11" s="31">
        <f>Synthetic_Raw!Y12-Synthetic_Raw!AC12</f>
        <v/>
      </c>
      <c r="G11" s="31">
        <f>Synthetic_Raw!Z12</f>
        <v/>
      </c>
      <c r="H11" s="31">
        <f>Synthetic_Raw!AA12</f>
        <v/>
      </c>
      <c r="I11" s="31">
        <f>-1*Synthetic_Raw!W12</f>
        <v/>
      </c>
      <c r="J11" s="40">
        <f>0.30*I11+0.25*D11+0.20*E11+0.15*F11+0.10*C11</f>
        <v/>
      </c>
      <c r="K11" s="31">
        <f>0.50*ABS(D11)+0.30*Synthetic_Raw!X12+0.20*ABS(G11)</f>
        <v/>
      </c>
      <c r="L11" s="31">
        <f>0.35*C11+0.20*(1-ABS(B11-0.08))+0.25*MAX(0,J11)+0.20*(1-MIN(1,ABS(Synthetic_Raw!AC12)))</f>
        <v/>
      </c>
      <c r="M11" s="5">
        <f>IF(J11&gt;0.35,"Possible squeeze regime",IF(K11&gt;0.45,"Pin / strike gravity risk","Normal execution state"))</f>
        <v/>
      </c>
    </row>
    <row r="12">
      <c r="A12" s="46">
        <f>Synthetic_Raw!A13</f>
        <v/>
      </c>
      <c r="B12" s="31">
        <f>(Synthetic_Raw!C13-Synthetic_Raw!D13)/Synthetic_Raw!B13</f>
        <v/>
      </c>
      <c r="C12" s="31">
        <f>Synthetic_Raw!E13/AVERAGE(Synthetic_Raw!$E$5:Synthetic_Raw!E13)</f>
        <v/>
      </c>
      <c r="D12" s="31">
        <f>Synthetic_Raw!W13*Synthetic_Raw!X13</f>
        <v/>
      </c>
      <c r="E12" s="31">
        <f>Synthetic_Raw!AB13</f>
        <v/>
      </c>
      <c r="F12" s="31">
        <f>Synthetic_Raw!Y13-Synthetic_Raw!AC13</f>
        <v/>
      </c>
      <c r="G12" s="31">
        <f>Synthetic_Raw!Z13</f>
        <v/>
      </c>
      <c r="H12" s="31">
        <f>Synthetic_Raw!AA13</f>
        <v/>
      </c>
      <c r="I12" s="31">
        <f>-1*Synthetic_Raw!W13</f>
        <v/>
      </c>
      <c r="J12" s="40">
        <f>0.30*I12+0.25*D12+0.20*E12+0.15*F12+0.10*C12</f>
        <v/>
      </c>
      <c r="K12" s="31">
        <f>0.50*ABS(D12)+0.30*Synthetic_Raw!X13+0.20*ABS(G12)</f>
        <v/>
      </c>
      <c r="L12" s="31">
        <f>0.35*C12+0.20*(1-ABS(B12-0.08))+0.25*MAX(0,J12)+0.20*(1-MIN(1,ABS(Synthetic_Raw!AC13)))</f>
        <v/>
      </c>
      <c r="M12" s="5">
        <f>IF(J12&gt;0.35,"Possible squeeze regime",IF(K12&gt;0.45,"Pin / strike gravity risk","Normal execution state"))</f>
        <v/>
      </c>
    </row>
    <row r="13">
      <c r="A13" s="46">
        <f>Synthetic_Raw!A14</f>
        <v/>
      </c>
      <c r="B13" s="31">
        <f>(Synthetic_Raw!C14-Synthetic_Raw!D14)/Synthetic_Raw!B14</f>
        <v/>
      </c>
      <c r="C13" s="31">
        <f>Synthetic_Raw!E14/AVERAGE(Synthetic_Raw!$E$5:Synthetic_Raw!E14)</f>
        <v/>
      </c>
      <c r="D13" s="31">
        <f>Synthetic_Raw!W14*Synthetic_Raw!X14</f>
        <v/>
      </c>
      <c r="E13" s="31">
        <f>Synthetic_Raw!AB14</f>
        <v/>
      </c>
      <c r="F13" s="31">
        <f>Synthetic_Raw!Y14-Synthetic_Raw!AC14</f>
        <v/>
      </c>
      <c r="G13" s="31">
        <f>Synthetic_Raw!Z14</f>
        <v/>
      </c>
      <c r="H13" s="31">
        <f>Synthetic_Raw!AA14</f>
        <v/>
      </c>
      <c r="I13" s="31">
        <f>-1*Synthetic_Raw!W14</f>
        <v/>
      </c>
      <c r="J13" s="40">
        <f>0.30*I13+0.25*D13+0.20*E13+0.15*F13+0.10*C13</f>
        <v/>
      </c>
      <c r="K13" s="31">
        <f>0.50*ABS(D13)+0.30*Synthetic_Raw!X14+0.20*ABS(G13)</f>
        <v/>
      </c>
      <c r="L13" s="31">
        <f>0.35*C13+0.20*(1-ABS(B13-0.08))+0.25*MAX(0,J13)+0.20*(1-MIN(1,ABS(Synthetic_Raw!AC14)))</f>
        <v/>
      </c>
      <c r="M13" s="5">
        <f>IF(J13&gt;0.35,"Possible squeeze regime",IF(K13&gt;0.45,"Pin / strike gravity risk","Normal execution state"))</f>
        <v/>
      </c>
    </row>
    <row r="14">
      <c r="A14" s="46">
        <f>Synthetic_Raw!A15</f>
        <v/>
      </c>
      <c r="B14" s="31">
        <f>(Synthetic_Raw!C15-Synthetic_Raw!D15)/Synthetic_Raw!B15</f>
        <v/>
      </c>
      <c r="C14" s="31">
        <f>Synthetic_Raw!E15/AVERAGE(Synthetic_Raw!$E$5:Synthetic_Raw!E15)</f>
        <v/>
      </c>
      <c r="D14" s="31">
        <f>Synthetic_Raw!W15*Synthetic_Raw!X15</f>
        <v/>
      </c>
      <c r="E14" s="31">
        <f>Synthetic_Raw!AB15</f>
        <v/>
      </c>
      <c r="F14" s="31">
        <f>Synthetic_Raw!Y15-Synthetic_Raw!AC15</f>
        <v/>
      </c>
      <c r="G14" s="31">
        <f>Synthetic_Raw!Z15</f>
        <v/>
      </c>
      <c r="H14" s="31">
        <f>Synthetic_Raw!AA15</f>
        <v/>
      </c>
      <c r="I14" s="31">
        <f>-1*Synthetic_Raw!W15</f>
        <v/>
      </c>
      <c r="J14" s="40">
        <f>0.30*I14+0.25*D14+0.20*E14+0.15*F14+0.10*C14</f>
        <v/>
      </c>
      <c r="K14" s="31">
        <f>0.50*ABS(D14)+0.30*Synthetic_Raw!X15+0.20*ABS(G14)</f>
        <v/>
      </c>
      <c r="L14" s="31">
        <f>0.35*C14+0.20*(1-ABS(B14-0.08))+0.25*MAX(0,J14)+0.20*(1-MIN(1,ABS(Synthetic_Raw!AC15)))</f>
        <v/>
      </c>
      <c r="M14" s="5">
        <f>IF(J14&gt;0.35,"Possible squeeze regime",IF(K14&gt;0.45,"Pin / strike gravity risk","Normal execution state"))</f>
        <v/>
      </c>
    </row>
    <row r="15">
      <c r="A15" s="46">
        <f>Synthetic_Raw!A16</f>
        <v/>
      </c>
      <c r="B15" s="31">
        <f>(Synthetic_Raw!C16-Synthetic_Raw!D16)/Synthetic_Raw!B16</f>
        <v/>
      </c>
      <c r="C15" s="31">
        <f>Synthetic_Raw!E16/AVERAGE(Synthetic_Raw!$E$5:Synthetic_Raw!E16)</f>
        <v/>
      </c>
      <c r="D15" s="31">
        <f>Synthetic_Raw!W16*Synthetic_Raw!X16</f>
        <v/>
      </c>
      <c r="E15" s="31">
        <f>Synthetic_Raw!AB16</f>
        <v/>
      </c>
      <c r="F15" s="31">
        <f>Synthetic_Raw!Y16-Synthetic_Raw!AC16</f>
        <v/>
      </c>
      <c r="G15" s="31">
        <f>Synthetic_Raw!Z16</f>
        <v/>
      </c>
      <c r="H15" s="31">
        <f>Synthetic_Raw!AA16</f>
        <v/>
      </c>
      <c r="I15" s="31">
        <f>-1*Synthetic_Raw!W16</f>
        <v/>
      </c>
      <c r="J15" s="40">
        <f>0.30*I15+0.25*D15+0.20*E15+0.15*F15+0.10*C15</f>
        <v/>
      </c>
      <c r="K15" s="31">
        <f>0.50*ABS(D15)+0.30*Synthetic_Raw!X16+0.20*ABS(G15)</f>
        <v/>
      </c>
      <c r="L15" s="31">
        <f>0.35*C15+0.20*(1-ABS(B15-0.08))+0.25*MAX(0,J15)+0.20*(1-MIN(1,ABS(Synthetic_Raw!AC16)))</f>
        <v/>
      </c>
      <c r="M15" s="5">
        <f>IF(J15&gt;0.35,"Possible squeeze regime",IF(K15&gt;0.45,"Pin / strike gravity risk","Normal execution state"))</f>
        <v/>
      </c>
    </row>
  </sheetData>
  <mergeCells count="1">
    <mergeCell ref="A1:M1"/>
  </mergeCell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2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24" customWidth="1" min="10" max="10"/>
  </cols>
  <sheetData>
    <row r="1">
      <c r="A1" s="1" t="inlineStr">
        <is>
          <t>Derived State: Asia Handoff &amp; Breadth</t>
        </is>
      </c>
    </row>
    <row r="3">
      <c r="A3" s="15" t="inlineStr">
        <is>
          <t>Date</t>
        </is>
      </c>
      <c r="B3" s="15" t="inlineStr">
        <is>
          <t>NKY_Return</t>
        </is>
      </c>
      <c r="C3" s="15" t="inlineStr">
        <is>
          <t>HSI_Return</t>
        </is>
      </c>
      <c r="D3" s="15" t="inlineStr">
        <is>
          <t>HSTECH_Return</t>
        </is>
      </c>
      <c r="E3" s="15" t="inlineStr">
        <is>
          <t>Asia_Handoff_Score</t>
        </is>
      </c>
      <c r="F3" s="15" t="inlineStr">
        <is>
          <t>SPX_Breadth</t>
        </is>
      </c>
      <c r="G3" s="15" t="inlineStr">
        <is>
          <t>NDX_Breadth</t>
        </is>
      </c>
      <c r="H3" s="15" t="inlineStr">
        <is>
          <t>SOX_Breadth</t>
        </is>
      </c>
      <c r="I3" s="15" t="inlineStr">
        <is>
          <t>Concentration_Risk</t>
        </is>
      </c>
      <c r="J3" s="15" t="inlineStr">
        <is>
          <t>Comment</t>
        </is>
      </c>
    </row>
    <row r="4">
      <c r="A4" s="49">
        <f>Synthetic_Raw!A5</f>
        <v/>
      </c>
      <c r="B4" s="50" t="inlineStr"/>
      <c r="C4" s="50" t="inlineStr"/>
      <c r="D4" s="50" t="inlineStr"/>
      <c r="E4" s="51" t="inlineStr"/>
      <c r="F4" s="50" t="inlineStr"/>
      <c r="G4" s="50" t="inlineStr"/>
      <c r="H4" s="50" t="inlineStr"/>
      <c r="I4" s="50" t="inlineStr"/>
    </row>
    <row r="5">
      <c r="A5" s="46">
        <f>Synthetic_Raw!A6</f>
        <v/>
      </c>
      <c r="B5" s="48">
        <f>(Synthetic_Raw!J6/Synthetic_Raw!J5)-1</f>
        <v/>
      </c>
      <c r="C5" s="48">
        <f>(Synthetic_Raw!K6/Synthetic_Raw!K5)-1</f>
        <v/>
      </c>
      <c r="D5" s="48">
        <f>(Synthetic_Raw!L6/Synthetic_Raw!L5)-1</f>
        <v/>
      </c>
      <c r="E5" s="52">
        <f>0.35*B5+0.30*C5+0.35*D5</f>
        <v/>
      </c>
      <c r="F5" s="48">
        <f>Synthetic_Raw!T6</f>
        <v/>
      </c>
      <c r="G5" s="48">
        <f>Synthetic_Raw!U6</f>
        <v/>
      </c>
      <c r="H5" s="48">
        <f>Synthetic_Raw!V6</f>
        <v/>
      </c>
      <c r="I5" s="48">
        <f>1-AVERAGE(F5:H5)</f>
        <v/>
      </c>
      <c r="J5" s="5">
        <f>IF(E5&gt;0.02,"Positive Asia handoff",IF(E5&lt;-0.02,"Negative Asia handoff","Flat Asia handoff"))</f>
        <v/>
      </c>
    </row>
    <row r="6">
      <c r="A6" s="46">
        <f>Synthetic_Raw!A7</f>
        <v/>
      </c>
      <c r="B6" s="48">
        <f>(Synthetic_Raw!J7/Synthetic_Raw!J6)-1</f>
        <v/>
      </c>
      <c r="C6" s="48">
        <f>(Synthetic_Raw!K7/Synthetic_Raw!K6)-1</f>
        <v/>
      </c>
      <c r="D6" s="48">
        <f>(Synthetic_Raw!L7/Synthetic_Raw!L6)-1</f>
        <v/>
      </c>
      <c r="E6" s="52">
        <f>0.35*B6+0.30*C6+0.35*D6</f>
        <v/>
      </c>
      <c r="F6" s="48">
        <f>Synthetic_Raw!T7</f>
        <v/>
      </c>
      <c r="G6" s="48">
        <f>Synthetic_Raw!U7</f>
        <v/>
      </c>
      <c r="H6" s="48">
        <f>Synthetic_Raw!V7</f>
        <v/>
      </c>
      <c r="I6" s="48">
        <f>1-AVERAGE(F6:H6)</f>
        <v/>
      </c>
      <c r="J6" s="5">
        <f>IF(E6&gt;0.02,"Positive Asia handoff",IF(E6&lt;-0.02,"Negative Asia handoff","Flat Asia handoff"))</f>
        <v/>
      </c>
    </row>
    <row r="7">
      <c r="A7" s="46">
        <f>Synthetic_Raw!A8</f>
        <v/>
      </c>
      <c r="B7" s="48">
        <f>(Synthetic_Raw!J8/Synthetic_Raw!J7)-1</f>
        <v/>
      </c>
      <c r="C7" s="48">
        <f>(Synthetic_Raw!K8/Synthetic_Raw!K7)-1</f>
        <v/>
      </c>
      <c r="D7" s="48">
        <f>(Synthetic_Raw!L8/Synthetic_Raw!L7)-1</f>
        <v/>
      </c>
      <c r="E7" s="52">
        <f>0.35*B7+0.30*C7+0.35*D7</f>
        <v/>
      </c>
      <c r="F7" s="48">
        <f>Synthetic_Raw!T8</f>
        <v/>
      </c>
      <c r="G7" s="48">
        <f>Synthetic_Raw!U8</f>
        <v/>
      </c>
      <c r="H7" s="48">
        <f>Synthetic_Raw!V8</f>
        <v/>
      </c>
      <c r="I7" s="48">
        <f>1-AVERAGE(F7:H7)</f>
        <v/>
      </c>
      <c r="J7" s="5">
        <f>IF(E7&gt;0.02,"Positive Asia handoff",IF(E7&lt;-0.02,"Negative Asia handoff","Flat Asia handoff"))</f>
        <v/>
      </c>
    </row>
    <row r="8">
      <c r="A8" s="46">
        <f>Synthetic_Raw!A9</f>
        <v/>
      </c>
      <c r="B8" s="48">
        <f>(Synthetic_Raw!J9/Synthetic_Raw!J8)-1</f>
        <v/>
      </c>
      <c r="C8" s="48">
        <f>(Synthetic_Raw!K9/Synthetic_Raw!K8)-1</f>
        <v/>
      </c>
      <c r="D8" s="48">
        <f>(Synthetic_Raw!L9/Synthetic_Raw!L8)-1</f>
        <v/>
      </c>
      <c r="E8" s="52">
        <f>0.35*B8+0.30*C8+0.35*D8</f>
        <v/>
      </c>
      <c r="F8" s="48">
        <f>Synthetic_Raw!T9</f>
        <v/>
      </c>
      <c r="G8" s="48">
        <f>Synthetic_Raw!U9</f>
        <v/>
      </c>
      <c r="H8" s="48">
        <f>Synthetic_Raw!V9</f>
        <v/>
      </c>
      <c r="I8" s="48">
        <f>1-AVERAGE(F8:H8)</f>
        <v/>
      </c>
      <c r="J8" s="5">
        <f>IF(E8&gt;0.02,"Positive Asia handoff",IF(E8&lt;-0.02,"Negative Asia handoff","Flat Asia handoff"))</f>
        <v/>
      </c>
    </row>
    <row r="9">
      <c r="A9" s="46">
        <f>Synthetic_Raw!A10</f>
        <v/>
      </c>
      <c r="B9" s="48">
        <f>(Synthetic_Raw!J10/Synthetic_Raw!J9)-1</f>
        <v/>
      </c>
      <c r="C9" s="48">
        <f>(Synthetic_Raw!K10/Synthetic_Raw!K9)-1</f>
        <v/>
      </c>
      <c r="D9" s="48">
        <f>(Synthetic_Raw!L10/Synthetic_Raw!L9)-1</f>
        <v/>
      </c>
      <c r="E9" s="52">
        <f>0.35*B9+0.30*C9+0.35*D9</f>
        <v/>
      </c>
      <c r="F9" s="48">
        <f>Synthetic_Raw!T10</f>
        <v/>
      </c>
      <c r="G9" s="48">
        <f>Synthetic_Raw!U10</f>
        <v/>
      </c>
      <c r="H9" s="48">
        <f>Synthetic_Raw!V10</f>
        <v/>
      </c>
      <c r="I9" s="48">
        <f>1-AVERAGE(F9:H9)</f>
        <v/>
      </c>
      <c r="J9" s="5">
        <f>IF(E9&gt;0.02,"Positive Asia handoff",IF(E9&lt;-0.02,"Negative Asia handoff","Flat Asia handoff"))</f>
        <v/>
      </c>
    </row>
    <row r="10">
      <c r="A10" s="46">
        <f>Synthetic_Raw!A11</f>
        <v/>
      </c>
      <c r="B10" s="48">
        <f>(Synthetic_Raw!J11/Synthetic_Raw!J10)-1</f>
        <v/>
      </c>
      <c r="C10" s="48">
        <f>(Synthetic_Raw!K11/Synthetic_Raw!K10)-1</f>
        <v/>
      </c>
      <c r="D10" s="48">
        <f>(Synthetic_Raw!L11/Synthetic_Raw!L10)-1</f>
        <v/>
      </c>
      <c r="E10" s="52">
        <f>0.35*B10+0.30*C10+0.35*D10</f>
        <v/>
      </c>
      <c r="F10" s="48">
        <f>Synthetic_Raw!T11</f>
        <v/>
      </c>
      <c r="G10" s="48">
        <f>Synthetic_Raw!U11</f>
        <v/>
      </c>
      <c r="H10" s="48">
        <f>Synthetic_Raw!V11</f>
        <v/>
      </c>
      <c r="I10" s="48">
        <f>1-AVERAGE(F10:H10)</f>
        <v/>
      </c>
      <c r="J10" s="5">
        <f>IF(E10&gt;0.02,"Positive Asia handoff",IF(E10&lt;-0.02,"Negative Asia handoff","Flat Asia handoff"))</f>
        <v/>
      </c>
    </row>
    <row r="11">
      <c r="A11" s="46">
        <f>Synthetic_Raw!A12</f>
        <v/>
      </c>
      <c r="B11" s="48">
        <f>(Synthetic_Raw!J12/Synthetic_Raw!J11)-1</f>
        <v/>
      </c>
      <c r="C11" s="48">
        <f>(Synthetic_Raw!K12/Synthetic_Raw!K11)-1</f>
        <v/>
      </c>
      <c r="D11" s="48">
        <f>(Synthetic_Raw!L12/Synthetic_Raw!L11)-1</f>
        <v/>
      </c>
      <c r="E11" s="52">
        <f>0.35*B11+0.30*C11+0.35*D11</f>
        <v/>
      </c>
      <c r="F11" s="48">
        <f>Synthetic_Raw!T12</f>
        <v/>
      </c>
      <c r="G11" s="48">
        <f>Synthetic_Raw!U12</f>
        <v/>
      </c>
      <c r="H11" s="48">
        <f>Synthetic_Raw!V12</f>
        <v/>
      </c>
      <c r="I11" s="48">
        <f>1-AVERAGE(F11:H11)</f>
        <v/>
      </c>
      <c r="J11" s="5">
        <f>IF(E11&gt;0.02,"Positive Asia handoff",IF(E11&lt;-0.02,"Negative Asia handoff","Flat Asia handoff"))</f>
        <v/>
      </c>
    </row>
    <row r="12">
      <c r="A12" s="46">
        <f>Synthetic_Raw!A13</f>
        <v/>
      </c>
      <c r="B12" s="48">
        <f>(Synthetic_Raw!J13/Synthetic_Raw!J12)-1</f>
        <v/>
      </c>
      <c r="C12" s="48">
        <f>(Synthetic_Raw!K13/Synthetic_Raw!K12)-1</f>
        <v/>
      </c>
      <c r="D12" s="48">
        <f>(Synthetic_Raw!L13/Synthetic_Raw!L12)-1</f>
        <v/>
      </c>
      <c r="E12" s="52">
        <f>0.35*B12+0.30*C12+0.35*D12</f>
        <v/>
      </c>
      <c r="F12" s="48">
        <f>Synthetic_Raw!T13</f>
        <v/>
      </c>
      <c r="G12" s="48">
        <f>Synthetic_Raw!U13</f>
        <v/>
      </c>
      <c r="H12" s="48">
        <f>Synthetic_Raw!V13</f>
        <v/>
      </c>
      <c r="I12" s="48">
        <f>1-AVERAGE(F12:H12)</f>
        <v/>
      </c>
      <c r="J12" s="5">
        <f>IF(E12&gt;0.02,"Positive Asia handoff",IF(E12&lt;-0.02,"Negative Asia handoff","Flat Asia handoff"))</f>
        <v/>
      </c>
    </row>
    <row r="13">
      <c r="A13" s="46">
        <f>Synthetic_Raw!A14</f>
        <v/>
      </c>
      <c r="B13" s="48">
        <f>(Synthetic_Raw!J14/Synthetic_Raw!J13)-1</f>
        <v/>
      </c>
      <c r="C13" s="48">
        <f>(Synthetic_Raw!K14/Synthetic_Raw!K13)-1</f>
        <v/>
      </c>
      <c r="D13" s="48">
        <f>(Synthetic_Raw!L14/Synthetic_Raw!L13)-1</f>
        <v/>
      </c>
      <c r="E13" s="52">
        <f>0.35*B13+0.30*C13+0.35*D13</f>
        <v/>
      </c>
      <c r="F13" s="48">
        <f>Synthetic_Raw!T14</f>
        <v/>
      </c>
      <c r="G13" s="48">
        <f>Synthetic_Raw!U14</f>
        <v/>
      </c>
      <c r="H13" s="48">
        <f>Synthetic_Raw!V14</f>
        <v/>
      </c>
      <c r="I13" s="48">
        <f>1-AVERAGE(F13:H13)</f>
        <v/>
      </c>
      <c r="J13" s="5">
        <f>IF(E13&gt;0.02,"Positive Asia handoff",IF(E13&lt;-0.02,"Negative Asia handoff","Flat Asia handoff"))</f>
        <v/>
      </c>
    </row>
    <row r="14">
      <c r="A14" s="46">
        <f>Synthetic_Raw!A15</f>
        <v/>
      </c>
      <c r="B14" s="48">
        <f>(Synthetic_Raw!J15/Synthetic_Raw!J14)-1</f>
        <v/>
      </c>
      <c r="C14" s="48">
        <f>(Synthetic_Raw!K15/Synthetic_Raw!K14)-1</f>
        <v/>
      </c>
      <c r="D14" s="48">
        <f>(Synthetic_Raw!L15/Synthetic_Raw!L14)-1</f>
        <v/>
      </c>
      <c r="E14" s="52">
        <f>0.35*B14+0.30*C14+0.35*D14</f>
        <v/>
      </c>
      <c r="F14" s="48">
        <f>Synthetic_Raw!T15</f>
        <v/>
      </c>
      <c r="G14" s="48">
        <f>Synthetic_Raw!U15</f>
        <v/>
      </c>
      <c r="H14" s="48">
        <f>Synthetic_Raw!V15</f>
        <v/>
      </c>
      <c r="I14" s="48">
        <f>1-AVERAGE(F14:H14)</f>
        <v/>
      </c>
      <c r="J14" s="5">
        <f>IF(E14&gt;0.02,"Positive Asia handoff",IF(E14&lt;-0.02,"Negative Asia handoff","Flat Asia handoff"))</f>
        <v/>
      </c>
    </row>
    <row r="15">
      <c r="A15" s="46">
        <f>Synthetic_Raw!A16</f>
        <v/>
      </c>
      <c r="B15" s="48">
        <f>(Synthetic_Raw!J16/Synthetic_Raw!J15)-1</f>
        <v/>
      </c>
      <c r="C15" s="48">
        <f>(Synthetic_Raw!K16/Synthetic_Raw!K15)-1</f>
        <v/>
      </c>
      <c r="D15" s="48">
        <f>(Synthetic_Raw!L16/Synthetic_Raw!L15)-1</f>
        <v/>
      </c>
      <c r="E15" s="52">
        <f>0.35*B15+0.30*C15+0.35*D15</f>
        <v/>
      </c>
      <c r="F15" s="48">
        <f>Synthetic_Raw!T16</f>
        <v/>
      </c>
      <c r="G15" s="48">
        <f>Synthetic_Raw!U16</f>
        <v/>
      </c>
      <c r="H15" s="48">
        <f>Synthetic_Raw!V16</f>
        <v/>
      </c>
      <c r="I15" s="48">
        <f>1-AVERAGE(F15:H15)</f>
        <v/>
      </c>
      <c r="J15" s="5">
        <f>IF(E15&gt;0.02,"Positive Asia handoff",IF(E15&lt;-0.02,"Negative Asia handoff","Flat Asia handoff"))</f>
        <v/>
      </c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8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Test Use Cases &amp; Expected Behaviour</t>
        </is>
      </c>
    </row>
    <row r="3">
      <c r="A3" s="15" t="inlineStr">
        <is>
          <t>Scenario</t>
        </is>
      </c>
      <c r="B3" s="15" t="inlineStr">
        <is>
          <t>What it is testing</t>
        </is>
      </c>
      <c r="C3" s="15" t="inlineStr">
        <is>
          <t>Primary tabs to inspect</t>
        </is>
      </c>
      <c r="D3" s="15" t="inlineStr">
        <is>
          <t>Expected desk behaviour</t>
        </is>
      </c>
      <c r="E3" s="15" t="inlineStr">
        <is>
          <t>Likely vetoes</t>
        </is>
      </c>
      <c r="F3" s="15" t="inlineStr">
        <is>
          <t>Likely module interest</t>
        </is>
      </c>
      <c r="G3" s="15" t="inlineStr">
        <is>
          <t>Pass criterion</t>
        </is>
      </c>
    </row>
    <row r="4">
      <c r="A4" s="21" t="inlineStr">
        <is>
          <t>Baseline</t>
        </is>
      </c>
      <c r="B4" s="21" t="inlineStr">
        <is>
          <t>Normal beta, moderate vol, neutral options pressure</t>
        </is>
      </c>
      <c r="C4" s="21" t="inlineStr">
        <is>
          <t>Derived_Beta_Leadership; Derived_Execution_Options</t>
        </is>
      </c>
      <c r="D4" s="21" t="inlineStr">
        <is>
          <t>Modules should behave normally without over-firing risk blocks</t>
        </is>
      </c>
      <c r="E4" s="21" t="inlineStr">
        <is>
          <t>Few / none</t>
        </is>
      </c>
      <c r="F4" s="21" t="inlineStr">
        <is>
          <t>Carry and SLV should both remain evaluable</t>
        </is>
      </c>
      <c r="G4" s="21" t="inlineStr">
        <is>
          <t>No accidental veto cascade</t>
        </is>
      </c>
    </row>
    <row r="5">
      <c r="A5" s="21" t="inlineStr">
        <is>
          <t>Stress</t>
        </is>
      </c>
      <c r="B5" s="21" t="inlineStr">
        <is>
          <t>Rates up, vol up, weaker breadth, negative dealer gamma shift</t>
        </is>
      </c>
      <c r="C5" s="21" t="inlineStr">
        <is>
          <t>Derived_Vol_Rates_FX; Derived_Asia_Breadth</t>
        </is>
      </c>
      <c r="D5" s="21" t="inlineStr">
        <is>
          <t>Risk should de-gear, macro vetoes should appear, squeeze logic should not masquerade as opportunity</t>
        </is>
      </c>
      <c r="E5" s="21" t="inlineStr">
        <is>
          <t>Macro veto, weak breadth, execution caution</t>
        </is>
      </c>
      <c r="F5" s="21" t="inlineStr">
        <is>
          <t>Risk gateway and carry block logic</t>
        </is>
      </c>
      <c r="G5" s="21" t="inlineStr">
        <is>
          <t>Stress state clearly differentiated from baseline</t>
        </is>
      </c>
    </row>
    <row r="6">
      <c r="A6" s="21" t="inlineStr">
        <is>
          <t>Squeeze</t>
        </is>
      </c>
      <c r="B6" s="21" t="inlineStr">
        <is>
          <t>Positive beta, semis leadership, positive flow imbalance, strong gamma concentration</t>
        </is>
      </c>
      <c r="C6" s="21" t="inlineStr">
        <is>
          <t>Derived_Execution_Options; Derived_Beta_Leadership</t>
        </is>
      </c>
      <c r="D6" s="21" t="inlineStr">
        <is>
          <t>Squeeze proxy should rise while breadth and leadership stay supportive</t>
        </is>
      </c>
      <c r="E6" s="21" t="inlineStr">
        <is>
          <t>Only if vol or event flag breaks thresholds</t>
        </is>
      </c>
      <c r="F6" s="21" t="inlineStr">
        <is>
          <t>SLV / event-driven squeeze testing</t>
        </is>
      </c>
      <c r="G6" s="21" t="inlineStr">
        <is>
          <t>Squeeze regime scores higher than baseline and stress</t>
        </is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16" customWidth="1" min="4" max="4"/>
    <col width="18" customWidth="1" min="5" max="5"/>
    <col width="18" customWidth="1" min="6" max="6"/>
    <col width="18" customWidth="1" min="7" max="7"/>
    <col width="28" customWidth="1" min="8" max="8"/>
    <col width="10" customWidth="1" min="9" max="9"/>
    <col width="34" customWidth="1" min="10" max="10"/>
    <col width="18" customWidth="1" min="11" max="11"/>
    <col width="18" customWidth="1" min="12" max="12"/>
  </cols>
  <sheetData>
    <row r="1" ht="24" customHeight="1">
      <c r="A1" s="1" t="inlineStr">
        <is>
          <t>Temporal Step1 Framework — “Where are we now?”</t>
        </is>
      </c>
    </row>
    <row r="2" ht="36" customHeight="1">
      <c r="A2" s="69" t="inlineStr">
        <is>
          <t>Purpose: define Step 1 as its own deterministic layer using calendar/clock plus primitive intraday observables only; no Step 2/3 leakage.</t>
        </is>
      </c>
    </row>
    <row r="4" ht="24" customHeight="1">
      <c r="A4" s="1" t="inlineStr">
        <is>
          <t>Architecture guardrails</t>
        </is>
      </c>
      <c r="H4" s="1" t="inlineStr">
        <is>
          <t>Candidate threshold controls (editable blue inputs for workbook testing)</t>
        </is>
      </c>
    </row>
    <row r="5">
      <c r="A5" s="15" t="inlineStr">
        <is>
          <t>Rule_ID</t>
        </is>
      </c>
      <c r="B5" s="15" t="inlineStr">
        <is>
          <t>Rule</t>
        </is>
      </c>
      <c r="C5" s="15" t="inlineStr">
        <is>
          <t>Why</t>
        </is>
      </c>
      <c r="D5" s="15" t="inlineStr">
        <is>
          <t>Dependency policy</t>
        </is>
      </c>
      <c r="E5" s="15" t="inlineStr">
        <is>
          <t>Practical consequence</t>
        </is>
      </c>
      <c r="F5" s="15" t="inlineStr">
        <is>
          <t>Status</t>
        </is>
      </c>
      <c r="H5" s="15" t="inlineStr">
        <is>
          <t>Threshold</t>
        </is>
      </c>
      <c r="I5" s="15" t="inlineStr">
        <is>
          <t>Value</t>
        </is>
      </c>
      <c r="J5" s="15" t="inlineStr">
        <is>
          <t>Meaning</t>
        </is>
      </c>
    </row>
    <row r="6" ht="36" customHeight="1">
      <c r="A6" s="20" t="inlineStr">
        <is>
          <t>G01</t>
        </is>
      </c>
      <c r="B6" s="20" t="inlineStr">
        <is>
          <t>Keep clock envelope separate from behavioural phase.</t>
        </is>
      </c>
      <c r="C6" s="20" t="inlineStr">
        <is>
          <t>The clock says what is plausible; the tape says what is actually happening.</t>
        </is>
      </c>
      <c r="D6" s="20" t="inlineStr">
        <is>
          <t>Allowed</t>
        </is>
      </c>
      <c r="E6" s="20" t="inlineStr">
        <is>
          <t>Preserve both fields in Step 1 outputs.</t>
        </is>
      </c>
      <c r="F6" s="20" t="inlineStr">
        <is>
          <t>Adopted</t>
        </is>
      </c>
      <c r="H6" s="63" t="inlineStr">
        <is>
          <t>open_disorder_relvol_min</t>
        </is>
      </c>
      <c r="I6" s="64" t="n">
        <v>1.4</v>
      </c>
      <c r="J6" s="63" t="inlineStr">
        <is>
          <t>RelVol threshold for unresolved open behaviour</t>
        </is>
      </c>
    </row>
    <row r="7" ht="36" customHeight="1">
      <c r="A7" s="20" t="inlineStr">
        <is>
          <t>G02</t>
        </is>
      </c>
      <c r="B7" s="20" t="inlineStr">
        <is>
          <t>Step 1 may consume only primitive observables.</t>
        </is>
      </c>
      <c r="C7" s="20" t="inlineStr">
        <is>
          <t>Prevents loops and double-counting.</t>
        </is>
      </c>
      <c r="D7" s="20" t="inlineStr">
        <is>
          <t>Allowed</t>
        </is>
      </c>
      <c r="E7" s="20" t="inlineStr">
        <is>
          <t>Use timestamps, price, volume, VWAP, opening range, realised vol, event/expiry timestamps.</t>
        </is>
      </c>
      <c r="F7" s="20" t="inlineStr">
        <is>
          <t>Adopted</t>
        </is>
      </c>
      <c r="H7" s="63" t="inlineStr">
        <is>
          <t>open_disorder_rv5_bps_min</t>
        </is>
      </c>
      <c r="I7" s="65" t="n">
        <v>80</v>
      </c>
      <c r="J7" s="63" t="inlineStr">
        <is>
          <t>5-minute realised-vol threshold for open disorder</t>
        </is>
      </c>
    </row>
    <row r="8" ht="36" customHeight="1">
      <c r="A8" s="20" t="inlineStr">
        <is>
          <t>G03</t>
        </is>
      </c>
      <c r="B8" s="20" t="inlineStr">
        <is>
          <t>Step 1 may not consume later-step derived outputs.</t>
        </is>
      </c>
      <c r="C8" s="20" t="inlineStr">
        <is>
          <t>Market regime / options / posture outputs would contaminate first-pass cognition.</t>
        </is>
      </c>
      <c r="D8" s="20" t="inlineStr">
        <is>
          <t>Blocked</t>
        </is>
      </c>
      <c r="E8" s="20" t="inlineStr">
        <is>
          <t>Do not read breadth scores, gamma pressure scores, risk vetoes, or playbook eligibility.</t>
        </is>
      </c>
      <c r="F8" s="20" t="inlineStr">
        <is>
          <t>Hard rule</t>
        </is>
      </c>
      <c r="H8" s="63" t="inlineStr">
        <is>
          <t>open_disorder_vwap_dist_bps_min</t>
        </is>
      </c>
      <c r="I8" s="65" t="n">
        <v>60</v>
      </c>
      <c r="J8" s="63" t="inlineStr">
        <is>
          <t>VWAP-extension threshold for open disorder</t>
        </is>
      </c>
    </row>
    <row r="9" ht="36" customHeight="1">
      <c r="A9" s="20" t="inlineStr">
        <is>
          <t>G04</t>
        </is>
      </c>
      <c r="B9" s="20" t="inlineStr">
        <is>
          <t>Shared primitives can be reused later.</t>
        </is>
      </c>
      <c r="C9" s="20" t="inlineStr">
        <is>
          <t>Reuse is fine; recursion is not.</t>
        </is>
      </c>
      <c r="D9" s="20" t="inlineStr">
        <is>
          <t>Allowed</t>
        </is>
      </c>
      <c r="E9" s="20" t="inlineStr">
        <is>
          <t>If later modules want VWAP or relative volume, they can compute from the same primitives.</t>
        </is>
      </c>
      <c r="F9" s="20" t="inlineStr">
        <is>
          <t>Adopted</t>
        </is>
      </c>
      <c r="H9" s="63" t="inlineStr">
        <is>
          <t>anchor_vwap_dist_bps_max</t>
        </is>
      </c>
      <c r="I9" s="65" t="n">
        <v>35</v>
      </c>
      <c r="J9" s="63" t="inlineStr">
        <is>
          <t>Max VWAP distance for early anchoring</t>
        </is>
      </c>
    </row>
    <row r="10" ht="36" customHeight="1">
      <c r="A10" s="20" t="inlineStr">
        <is>
          <t>G05</t>
        </is>
      </c>
      <c r="B10" s="20" t="inlineStr">
        <is>
          <t>If later logic needs similar helpers, duplicate or refactor at the primitive level.</t>
        </is>
      </c>
      <c r="C10" s="20" t="inlineStr">
        <is>
          <t>Prevents Step 1 from depending on downstream verdicts.</t>
        </is>
      </c>
      <c r="D10" s="20" t="inlineStr">
        <is>
          <t>Allowed</t>
        </is>
      </c>
      <c r="E10" s="20" t="inlineStr">
        <is>
          <t>Duplicate helper logic rather than importing downstream state.</t>
        </is>
      </c>
      <c r="F10" s="20" t="inlineStr">
        <is>
          <t>Adopted</t>
        </is>
      </c>
      <c r="H10" s="63" t="inlineStr">
        <is>
          <t>anchor_rv5_bps_max</t>
        </is>
      </c>
      <c r="I10" s="65" t="n">
        <v>60</v>
      </c>
      <c r="J10" s="63" t="inlineStr">
        <is>
          <t>Max 5-minute RV for early anchoring</t>
        </is>
      </c>
    </row>
    <row r="11" ht="36" customHeight="1">
      <c r="A11" s="20" t="inlineStr">
        <is>
          <t>G06</t>
        </is>
      </c>
      <c r="B11" s="20" t="inlineStr">
        <is>
          <t>Target replay cadence is 30 seconds; 1 minute is fallback.</t>
        </is>
      </c>
      <c r="C11" s="20" t="inlineStr">
        <is>
          <t>The design should be granular enough for real historical replay.</t>
        </is>
      </c>
      <c r="D11" s="20" t="inlineStr">
        <is>
          <t>Allowed</t>
        </is>
      </c>
      <c r="E11" s="20" t="inlineStr">
        <is>
          <t>Capture primitives at 30s buckets and derive rolling windows from them.</t>
        </is>
      </c>
      <c r="F11" s="20" t="inlineStr">
        <is>
          <t>Adopted</t>
        </is>
      </c>
      <c r="H11" s="63" t="inlineStr">
        <is>
          <t>anchor_relvol_min</t>
        </is>
      </c>
      <c r="I11" s="64" t="n">
        <v>0.9</v>
      </c>
      <c r="J11" s="63" t="inlineStr">
        <is>
          <t>Min RelVol for early anchoring</t>
        </is>
      </c>
    </row>
    <row r="12">
      <c r="H12" s="63" t="inlineStr">
        <is>
          <t>anchor_relvol_max</t>
        </is>
      </c>
      <c r="I12" s="64" t="n">
        <v>1.4</v>
      </c>
      <c r="J12" s="63" t="inlineStr">
        <is>
          <t>Max RelVol for early anchoring</t>
        </is>
      </c>
    </row>
    <row r="13">
      <c r="H13" s="63" t="inlineStr">
        <is>
          <t>anchor_impulse_age_min</t>
        </is>
      </c>
      <c r="I13" s="65" t="n">
        <v>5</v>
      </c>
      <c r="J13" s="63" t="inlineStr">
        <is>
          <t>Minimum minutes since last impulse for anchoring</t>
        </is>
      </c>
    </row>
    <row r="14">
      <c r="H14" s="63" t="inlineStr">
        <is>
          <t>compression_rv5_bps_max</t>
        </is>
      </c>
      <c r="I14" s="65" t="n">
        <v>35</v>
      </c>
      <c r="J14" s="63" t="inlineStr">
        <is>
          <t>Max RV5 for midday compression</t>
        </is>
      </c>
    </row>
    <row r="15">
      <c r="H15" s="63" t="inlineStr">
        <is>
          <t>compression_range5_bps_max</t>
        </is>
      </c>
      <c r="I15" s="65" t="n">
        <v>40</v>
      </c>
      <c r="J15" s="63" t="inlineStr">
        <is>
          <t>Max 5-minute range for midday compression</t>
        </is>
      </c>
    </row>
    <row r="16">
      <c r="H16" s="63" t="inlineStr">
        <is>
          <t>compression_vwap_dist_bps_max</t>
        </is>
      </c>
      <c r="I16" s="65" t="n">
        <v>25</v>
      </c>
      <c r="J16" s="63" t="inlineStr">
        <is>
          <t>Max VWAP distance for midday compression</t>
        </is>
      </c>
    </row>
    <row r="17">
      <c r="H17" s="63" t="inlineStr">
        <is>
          <t>compression_relvol_max</t>
        </is>
      </c>
      <c r="I17" s="64" t="n">
        <v>0.9</v>
      </c>
      <c r="J17" s="63" t="inlineStr">
        <is>
          <t>Max RelVol for midday compression</t>
        </is>
      </c>
    </row>
    <row r="18">
      <c r="H18" s="63" t="inlineStr">
        <is>
          <t>trend_vwap_slope_bps_min</t>
        </is>
      </c>
      <c r="I18" s="65" t="n">
        <v>15</v>
      </c>
      <c r="J18" s="63" t="inlineStr">
        <is>
          <t>Min VWAP slope magnitude for trend persistence</t>
        </is>
      </c>
    </row>
    <row r="19">
      <c r="H19" s="63" t="inlineStr">
        <is>
          <t>trend_vwap_dist_bps_min</t>
        </is>
      </c>
      <c r="I19" s="65" t="n">
        <v>30</v>
      </c>
      <c r="J19" s="63" t="inlineStr">
        <is>
          <t>Min VWAP distance magnitude for trend persistence</t>
        </is>
      </c>
    </row>
    <row r="20">
      <c r="H20" s="63" t="inlineStr">
        <is>
          <t>trend_relvol_min</t>
        </is>
      </c>
      <c r="I20" s="64" t="n">
        <v>1.05</v>
      </c>
      <c r="J20" s="63" t="inlineStr">
        <is>
          <t>Min RelVol for trend persistence</t>
        </is>
      </c>
    </row>
    <row r="21">
      <c r="H21" s="63" t="inlineStr">
        <is>
          <t>trend_impulse_age_max</t>
        </is>
      </c>
      <c r="I21" s="65" t="n">
        <v>5</v>
      </c>
      <c r="J21" s="63" t="inlineStr">
        <is>
          <t>Max minutes since impulse for trend persistence</t>
        </is>
      </c>
    </row>
    <row r="22">
      <c r="H22" s="63" t="inlineStr">
        <is>
          <t>power_hour_window_min</t>
        </is>
      </c>
      <c r="I22" s="65" t="n">
        <v>60</v>
      </c>
      <c r="J22" s="63" t="inlineStr">
        <is>
          <t>Minutes-to-close threshold for power hour</t>
        </is>
      </c>
    </row>
    <row r="23">
      <c r="H23" s="63" t="inlineStr">
        <is>
          <t>unwind_window_min</t>
        </is>
      </c>
      <c r="I23" s="65" t="n">
        <v>30</v>
      </c>
      <c r="J23" s="63" t="inlineStr">
        <is>
          <t>Minutes-to-close threshold for dealer unwind close</t>
        </is>
      </c>
    </row>
    <row r="26" ht="24" customHeight="1">
      <c r="A26" s="1" t="inlineStr">
        <is>
          <t>Step 1 primitive input contract (30-second target cadence)</t>
        </is>
      </c>
    </row>
    <row r="27">
      <c r="A27" s="15" t="inlineStr">
        <is>
          <t>Family</t>
        </is>
      </c>
      <c r="B27" s="15" t="inlineStr">
        <is>
          <t>Field_ID</t>
        </is>
      </c>
      <c r="C27" s="15" t="inlineStr">
        <is>
          <t>Field_Name</t>
        </is>
      </c>
      <c r="D27" s="15" t="inlineStr">
        <is>
          <t>Unit</t>
        </is>
      </c>
      <c r="E27" s="15" t="inlineStr">
        <is>
          <t>Cadence</t>
        </is>
      </c>
      <c r="F27" s="15" t="inlineStr">
        <is>
          <t>Used for</t>
        </is>
      </c>
      <c r="G27" s="15" t="inlineStr">
        <is>
          <t>Current workbook status</t>
        </is>
      </c>
      <c r="H27" s="15" t="inlineStr">
        <is>
          <t>Current repo status</t>
        </is>
      </c>
      <c r="I27" s="15" t="inlineStr">
        <is>
          <t>Priority</t>
        </is>
      </c>
      <c r="J27" s="15" t="inlineStr">
        <is>
          <t>Loop risk if pulled from later output?</t>
        </is>
      </c>
      <c r="K27" s="15" t="inlineStr">
        <is>
          <t>Preferred source class</t>
        </is>
      </c>
      <c r="L27" s="15" t="inlineStr">
        <is>
          <t>Notes</t>
        </is>
      </c>
    </row>
    <row r="28">
      <c r="A28" s="20" t="inlineStr">
        <is>
          <t>Calendar</t>
        </is>
      </c>
      <c r="B28" s="20" t="inlineStr">
        <is>
          <t>T01</t>
        </is>
      </c>
      <c r="C28" s="20" t="inlineStr">
        <is>
          <t>Snapshot timestamp ET</t>
        </is>
      </c>
      <c r="D28" s="20" t="inlineStr">
        <is>
          <t>datetime</t>
        </is>
      </c>
      <c r="E28" s="20" t="inlineStr">
        <is>
          <t>30s</t>
        </is>
      </c>
      <c r="F28" s="20" t="inlineStr">
        <is>
          <t>session date / weekday / month / minutes since open</t>
        </is>
      </c>
      <c r="G28" s="20" t="inlineStr">
        <is>
          <t>Missing</t>
        </is>
      </c>
      <c r="H28" s="20" t="inlineStr">
        <is>
          <t>Partial (timestamp only)</t>
        </is>
      </c>
      <c r="I28" s="20" t="inlineStr">
        <is>
          <t>Must-have</t>
        </is>
      </c>
      <c r="J28" s="20" t="inlineStr">
        <is>
          <t>High</t>
        </is>
      </c>
      <c r="K28" s="20" t="inlineStr">
        <is>
          <t>feed timestamp</t>
        </is>
      </c>
      <c r="L28" s="20" t="inlineStr">
        <is>
          <t>Base observation key</t>
        </is>
      </c>
    </row>
    <row r="29">
      <c r="A29" s="20" t="inlineStr">
        <is>
          <t>Calendar</t>
        </is>
      </c>
      <c r="B29" s="20" t="inlineStr">
        <is>
          <t>T02</t>
        </is>
      </c>
      <c r="C29" s="20" t="inlineStr">
        <is>
          <t>Session date ET</t>
        </is>
      </c>
      <c r="D29" s="20" t="inlineStr">
        <is>
          <t>date</t>
        </is>
      </c>
      <c r="E29" s="20" t="inlineStr">
        <is>
          <t>derived</t>
        </is>
      </c>
      <c r="F29" s="20" t="inlineStr">
        <is>
          <t>calendar partition</t>
        </is>
      </c>
      <c r="G29" s="20" t="inlineStr">
        <is>
          <t>Missing</t>
        </is>
      </c>
      <c r="H29" s="20" t="inlineStr">
        <is>
          <t>Missing</t>
        </is>
      </c>
      <c r="I29" s="20" t="inlineStr">
        <is>
          <t>Must-have</t>
        </is>
      </c>
      <c r="J29" s="20" t="inlineStr">
        <is>
          <t>Low</t>
        </is>
      </c>
      <c r="K29" s="20" t="inlineStr">
        <is>
          <t>derived from T01</t>
        </is>
      </c>
      <c r="L29" s="20" t="inlineStr">
        <is>
          <t>Trading-session anchor</t>
        </is>
      </c>
    </row>
    <row r="30">
      <c r="A30" s="20" t="inlineStr">
        <is>
          <t>Calendar</t>
        </is>
      </c>
      <c r="B30" s="20" t="inlineStr">
        <is>
          <t>T03</t>
        </is>
      </c>
      <c r="C30" s="20" t="inlineStr">
        <is>
          <t>Weekday / week-of-month / month</t>
        </is>
      </c>
      <c r="D30" s="20" t="inlineStr">
        <is>
          <t>categorical</t>
        </is>
      </c>
      <c r="E30" s="20" t="inlineStr">
        <is>
          <t>derived</t>
        </is>
      </c>
      <c r="F30" s="20" t="inlineStr">
        <is>
          <t>calendar context</t>
        </is>
      </c>
      <c r="G30" s="20" t="inlineStr">
        <is>
          <t>Missing</t>
        </is>
      </c>
      <c r="H30" s="20" t="inlineStr">
        <is>
          <t>Missing</t>
        </is>
      </c>
      <c r="I30" s="20" t="inlineStr">
        <is>
          <t>Should-have</t>
        </is>
      </c>
      <c r="J30" s="20" t="inlineStr">
        <is>
          <t>Low</t>
        </is>
      </c>
      <c r="K30" s="20" t="inlineStr">
        <is>
          <t>derived from T01</t>
        </is>
      </c>
      <c r="L30" s="20" t="inlineStr">
        <is>
          <t>First trader question is still what day/week is it</t>
        </is>
      </c>
    </row>
    <row r="31">
      <c r="A31" s="20" t="inlineStr">
        <is>
          <t>Calendar</t>
        </is>
      </c>
      <c r="B31" s="20" t="inlineStr">
        <is>
          <t>T04</t>
        </is>
      </c>
      <c r="C31" s="20" t="inlineStr">
        <is>
          <t>Next expiry timestamp</t>
        </is>
      </c>
      <c r="D31" s="20" t="inlineStr">
        <is>
          <t>datetime</t>
        </is>
      </c>
      <c r="E31" s="20" t="inlineStr">
        <is>
          <t>daily / event-driven</t>
        </is>
      </c>
      <c r="F31" s="20" t="inlineStr">
        <is>
          <t>expiry cycle state</t>
        </is>
      </c>
      <c r="G31" s="20" t="inlineStr">
        <is>
          <t>Missing</t>
        </is>
      </c>
      <c r="H31" s="20" t="inlineStr">
        <is>
          <t>Present in v1</t>
        </is>
      </c>
      <c r="I31" s="20" t="inlineStr">
        <is>
          <t>Must-have</t>
        </is>
      </c>
      <c r="J31" s="20" t="inlineStr">
        <is>
          <t>Low</t>
        </is>
      </c>
      <c r="K31" s="20" t="inlineStr">
        <is>
          <t>calendar</t>
        </is>
      </c>
      <c r="L31" s="20" t="inlineStr">
        <is>
          <t>Calendar-only use in Step 1</t>
        </is>
      </c>
    </row>
    <row r="32">
      <c r="A32" s="20" t="inlineStr">
        <is>
          <t>Calendar</t>
        </is>
      </c>
      <c r="B32" s="20" t="inlineStr">
        <is>
          <t>T05</t>
        </is>
      </c>
      <c r="C32" s="20" t="inlineStr">
        <is>
          <t>Next event timestamp</t>
        </is>
      </c>
      <c r="D32" s="20" t="inlineStr">
        <is>
          <t>datetime</t>
        </is>
      </c>
      <c r="E32" s="20" t="inlineStr">
        <is>
          <t>event-driven</t>
        </is>
      </c>
      <c r="F32" s="20" t="inlineStr">
        <is>
          <t>event window state</t>
        </is>
      </c>
      <c r="G32" s="20" t="inlineStr">
        <is>
          <t>Missing</t>
        </is>
      </c>
      <c r="H32" s="20" t="inlineStr">
        <is>
          <t>Present in v1</t>
        </is>
      </c>
      <c r="I32" s="20" t="inlineStr">
        <is>
          <t>Must-have</t>
        </is>
      </c>
      <c r="J32" s="20" t="inlineStr">
        <is>
          <t>Low</t>
        </is>
      </c>
      <c r="K32" s="20" t="inlineStr">
        <is>
          <t>calendar</t>
        </is>
      </c>
      <c r="L32" s="20" t="inlineStr">
        <is>
          <t>Calendar-only use in Step 1</t>
        </is>
      </c>
    </row>
    <row r="33">
      <c r="A33" s="20" t="inlineStr">
        <is>
          <t>Path into session</t>
        </is>
      </c>
      <c r="B33" s="20" t="inlineStr">
        <is>
          <t>T06</t>
        </is>
      </c>
      <c r="C33" s="20" t="inlineStr">
        <is>
          <t>Prior close price</t>
        </is>
      </c>
      <c r="D33" s="20" t="inlineStr">
        <is>
          <t>price</t>
        </is>
      </c>
      <c r="E33" s="20" t="inlineStr">
        <is>
          <t>daily</t>
        </is>
      </c>
      <c r="F33" s="20" t="inlineStr">
        <is>
          <t>gap / carryover</t>
        </is>
      </c>
      <c r="G33" s="20" t="inlineStr">
        <is>
          <t>Missing</t>
        </is>
      </c>
      <c r="H33" s="20" t="inlineStr">
        <is>
          <t>Missing</t>
        </is>
      </c>
      <c r="I33" s="20" t="inlineStr">
        <is>
          <t>Must-have</t>
        </is>
      </c>
      <c r="J33" s="20" t="inlineStr">
        <is>
          <t>Low</t>
        </is>
      </c>
      <c r="K33" s="20" t="inlineStr">
        <is>
          <t>market data</t>
        </is>
      </c>
      <c r="L33" s="20" t="inlineStr">
        <is>
          <t>Needed before any behavioural interpretation</t>
        </is>
      </c>
    </row>
    <row r="34">
      <c r="A34" s="20" t="inlineStr">
        <is>
          <t>Path into session</t>
        </is>
      </c>
      <c r="B34" s="20" t="inlineStr">
        <is>
          <t>T07</t>
        </is>
      </c>
      <c r="C34" s="20" t="inlineStr">
        <is>
          <t>Official open print</t>
        </is>
      </c>
      <c r="D34" s="20" t="inlineStr">
        <is>
          <t>price</t>
        </is>
      </c>
      <c r="E34" s="20" t="inlineStr">
        <is>
          <t>once / session</t>
        </is>
      </c>
      <c r="F34" s="20" t="inlineStr">
        <is>
          <t>opening anchor</t>
        </is>
      </c>
      <c r="G34" s="20" t="inlineStr">
        <is>
          <t>Missing</t>
        </is>
      </c>
      <c r="H34" s="20" t="inlineStr">
        <is>
          <t>Missing</t>
        </is>
      </c>
      <c r="I34" s="20" t="inlineStr">
        <is>
          <t>Must-have</t>
        </is>
      </c>
      <c r="J34" s="20" t="inlineStr">
        <is>
          <t>Low</t>
        </is>
      </c>
      <c r="K34" s="20" t="inlineStr">
        <is>
          <t>market data</t>
        </is>
      </c>
      <c r="L34" s="20" t="inlineStr">
        <is>
          <t>Regular-hours open only</t>
        </is>
      </c>
    </row>
    <row r="35">
      <c r="A35" s="20" t="inlineStr">
        <is>
          <t>Price / volume</t>
        </is>
      </c>
      <c r="B35" s="20" t="inlineStr">
        <is>
          <t>T08</t>
        </is>
      </c>
      <c r="C35" s="20" t="inlineStr">
        <is>
          <t>Last price</t>
        </is>
      </c>
      <c r="D35" s="20" t="inlineStr">
        <is>
          <t>price</t>
        </is>
      </c>
      <c r="E35" s="20" t="inlineStr">
        <is>
          <t>30s</t>
        </is>
      </c>
      <c r="F35" s="20" t="inlineStr">
        <is>
          <t>VWAP distance / range / impulse logic</t>
        </is>
      </c>
      <c r="G35" s="20" t="inlineStr">
        <is>
          <t>Missing</t>
        </is>
      </c>
      <c r="H35" s="20" t="inlineStr">
        <is>
          <t>Missing</t>
        </is>
      </c>
      <c r="I35" s="20" t="inlineStr">
        <is>
          <t>Must-have</t>
        </is>
      </c>
      <c r="J35" s="20" t="inlineStr">
        <is>
          <t>Low</t>
        </is>
      </c>
      <c r="K35" s="20" t="inlineStr">
        <is>
          <t>market data</t>
        </is>
      </c>
      <c r="L35" s="20" t="inlineStr">
        <is>
          <t>Primitive only</t>
        </is>
      </c>
    </row>
    <row r="36">
      <c r="A36" s="20" t="inlineStr">
        <is>
          <t>Price / volume</t>
        </is>
      </c>
      <c r="B36" s="20" t="inlineStr">
        <is>
          <t>T09</t>
        </is>
      </c>
      <c r="C36" s="20" t="inlineStr">
        <is>
          <t>Interval volume shares</t>
        </is>
      </c>
      <c r="D36" s="20" t="inlineStr">
        <is>
          <t>shares</t>
        </is>
      </c>
      <c r="E36" s="20" t="inlineStr">
        <is>
          <t>30s</t>
        </is>
      </c>
      <c r="F36" s="20" t="inlineStr">
        <is>
          <t>participation quality</t>
        </is>
      </c>
      <c r="G36" s="20" t="inlineStr">
        <is>
          <t>Missing</t>
        </is>
      </c>
      <c r="H36" s="20" t="inlineStr">
        <is>
          <t>Missing</t>
        </is>
      </c>
      <c r="I36" s="20" t="inlineStr">
        <is>
          <t>Must-have</t>
        </is>
      </c>
      <c r="J36" s="20" t="inlineStr">
        <is>
          <t>Low</t>
        </is>
      </c>
      <c r="K36" s="20" t="inlineStr">
        <is>
          <t>market data</t>
        </is>
      </c>
      <c r="L36" s="20" t="inlineStr">
        <is>
          <t>Key open/close input</t>
        </is>
      </c>
    </row>
    <row r="37">
      <c r="A37" s="20" t="inlineStr">
        <is>
          <t>Price / volume</t>
        </is>
      </c>
      <c r="B37" s="20" t="inlineStr">
        <is>
          <t>T10</t>
        </is>
      </c>
      <c r="C37" s="20" t="inlineStr">
        <is>
          <t>Cumulative session volume</t>
        </is>
      </c>
      <c r="D37" s="20" t="inlineStr">
        <is>
          <t>shares</t>
        </is>
      </c>
      <c r="E37" s="20" t="inlineStr">
        <is>
          <t>30s</t>
        </is>
      </c>
      <c r="F37" s="20" t="inlineStr">
        <is>
          <t>relative volume / VWAP</t>
        </is>
      </c>
      <c r="G37" s="20" t="inlineStr">
        <is>
          <t>Missing</t>
        </is>
      </c>
      <c r="H37" s="20" t="inlineStr">
        <is>
          <t>Missing</t>
        </is>
      </c>
      <c r="I37" s="20" t="inlineStr">
        <is>
          <t>Must-have</t>
        </is>
      </c>
      <c r="J37" s="20" t="inlineStr">
        <is>
          <t>Low</t>
        </is>
      </c>
      <c r="K37" s="20" t="inlineStr">
        <is>
          <t>derived from T09</t>
        </is>
      </c>
      <c r="L37" s="20" t="inlineStr">
        <is>
          <t>Session-to-date tally</t>
        </is>
      </c>
    </row>
    <row r="38">
      <c r="A38" s="20" t="inlineStr">
        <is>
          <t>VWAP</t>
        </is>
      </c>
      <c r="B38" s="20" t="inlineStr">
        <is>
          <t>T11</t>
        </is>
      </c>
      <c r="C38" s="20" t="inlineStr">
        <is>
          <t>Session VWAP</t>
        </is>
      </c>
      <c r="D38" s="20" t="inlineStr">
        <is>
          <t>price</t>
        </is>
      </c>
      <c r="E38" s="20" t="inlineStr">
        <is>
          <t>30s</t>
        </is>
      </c>
      <c r="F38" s="20" t="inlineStr">
        <is>
          <t>fair-value anchor</t>
        </is>
      </c>
      <c r="G38" s="20" t="inlineStr">
        <is>
          <t>Missing</t>
        </is>
      </c>
      <c r="H38" s="20" t="inlineStr">
        <is>
          <t>Fenced / partial elsewhere</t>
        </is>
      </c>
      <c r="I38" s="20" t="inlineStr">
        <is>
          <t>Must-have</t>
        </is>
      </c>
      <c r="J38" s="20" t="inlineStr">
        <is>
          <t>Medium</t>
        </is>
      </c>
      <c r="K38" s="20" t="inlineStr">
        <is>
          <t>price + volume accumulator</t>
        </is>
      </c>
      <c r="L38" s="20" t="inlineStr">
        <is>
          <t>Step 1 should own primitive VWAP observable</t>
        </is>
      </c>
    </row>
    <row r="39">
      <c r="A39" s="20" t="inlineStr">
        <is>
          <t>VWAP</t>
        </is>
      </c>
      <c r="B39" s="20" t="inlineStr">
        <is>
          <t>T12</t>
        </is>
      </c>
      <c r="C39" s="20" t="inlineStr">
        <is>
          <t>Distance to VWAP</t>
        </is>
      </c>
      <c r="D39" s="20" t="inlineStr">
        <is>
          <t>bps</t>
        </is>
      </c>
      <c r="E39" s="20" t="inlineStr">
        <is>
          <t>30s</t>
        </is>
      </c>
      <c r="F39" s="20" t="inlineStr">
        <is>
          <t>anchor vs extension</t>
        </is>
      </c>
      <c r="G39" s="20" t="inlineStr">
        <is>
          <t>Missing</t>
        </is>
      </c>
      <c r="H39" s="20" t="inlineStr">
        <is>
          <t>Fenced / partial elsewhere</t>
        </is>
      </c>
      <c r="I39" s="20" t="inlineStr">
        <is>
          <t>Must-have</t>
        </is>
      </c>
      <c r="J39" s="20" t="inlineStr">
        <is>
          <t>Medium</t>
        </is>
      </c>
      <c r="K39" s="20" t="inlineStr">
        <is>
          <t>derived from T08 &amp; T11</t>
        </is>
      </c>
      <c r="L39" s="20" t="inlineStr">
        <is>
          <t>Signed value</t>
        </is>
      </c>
    </row>
    <row r="40">
      <c r="A40" s="20" t="inlineStr">
        <is>
          <t>VWAP</t>
        </is>
      </c>
      <c r="B40" s="20" t="inlineStr">
        <is>
          <t>T13</t>
        </is>
      </c>
      <c r="C40" s="20" t="inlineStr">
        <is>
          <t>VWAP slope 5m</t>
        </is>
      </c>
      <c r="D40" s="20" t="inlineStr">
        <is>
          <t>bps / 5m</t>
        </is>
      </c>
      <c r="E40" s="20" t="inlineStr">
        <is>
          <t>30s rolling</t>
        </is>
      </c>
      <c r="F40" s="20" t="inlineStr">
        <is>
          <t>trend persistence vs magnet</t>
        </is>
      </c>
      <c r="G40" s="20" t="inlineStr">
        <is>
          <t>Missing</t>
        </is>
      </c>
      <c r="H40" s="20" t="inlineStr">
        <is>
          <t>Fenced / partial elsewhere</t>
        </is>
      </c>
      <c r="I40" s="20" t="inlineStr">
        <is>
          <t>Should-have</t>
        </is>
      </c>
      <c r="J40" s="20" t="inlineStr">
        <is>
          <t>Medium</t>
        </is>
      </c>
      <c r="K40" s="20" t="inlineStr">
        <is>
          <t>derived from T11</t>
        </is>
      </c>
      <c r="L40" s="20" t="inlineStr">
        <is>
          <t>Short-window direction</t>
        </is>
      </c>
    </row>
    <row r="41">
      <c r="A41" s="20" t="inlineStr">
        <is>
          <t>Opening range</t>
        </is>
      </c>
      <c r="B41" s="20" t="inlineStr">
        <is>
          <t>T14</t>
        </is>
      </c>
      <c r="C41" s="20" t="inlineStr">
        <is>
          <t>Opening-range high 5m</t>
        </is>
      </c>
      <c r="D41" s="20" t="inlineStr">
        <is>
          <t>price</t>
        </is>
      </c>
      <c r="E41" s="20" t="inlineStr">
        <is>
          <t>session</t>
        </is>
      </c>
      <c r="F41" s="20" t="inlineStr">
        <is>
          <t>early discovery framing</t>
        </is>
      </c>
      <c r="G41" s="20" t="inlineStr">
        <is>
          <t>Missing</t>
        </is>
      </c>
      <c r="H41" s="20" t="inlineStr">
        <is>
          <t>Missing</t>
        </is>
      </c>
      <c r="I41" s="20" t="inlineStr">
        <is>
          <t>Must-have</t>
        </is>
      </c>
      <c r="J41" s="20" t="inlineStr">
        <is>
          <t>Low</t>
        </is>
      </c>
      <c r="K41" s="20" t="inlineStr">
        <is>
          <t>market data</t>
        </is>
      </c>
      <c r="L41" s="20" t="inlineStr">
        <is>
          <t>Can later compare 5m vs 15m</t>
        </is>
      </c>
    </row>
    <row r="42">
      <c r="A42" s="20" t="inlineStr">
        <is>
          <t>Opening range</t>
        </is>
      </c>
      <c r="B42" s="20" t="inlineStr">
        <is>
          <t>T15</t>
        </is>
      </c>
      <c r="C42" s="20" t="inlineStr">
        <is>
          <t>Opening-range low 5m</t>
        </is>
      </c>
      <c r="D42" s="20" t="inlineStr">
        <is>
          <t>price</t>
        </is>
      </c>
      <c r="E42" s="20" t="inlineStr">
        <is>
          <t>session</t>
        </is>
      </c>
      <c r="F42" s="20" t="inlineStr">
        <is>
          <t>early discovery framing</t>
        </is>
      </c>
      <c r="G42" s="20" t="inlineStr">
        <is>
          <t>Missing</t>
        </is>
      </c>
      <c r="H42" s="20" t="inlineStr">
        <is>
          <t>Missing</t>
        </is>
      </c>
      <c r="I42" s="20" t="inlineStr">
        <is>
          <t>Must-have</t>
        </is>
      </c>
      <c r="J42" s="20" t="inlineStr">
        <is>
          <t>Low</t>
        </is>
      </c>
      <c r="K42" s="20" t="inlineStr">
        <is>
          <t>market data</t>
        </is>
      </c>
      <c r="L42" s="20" t="inlineStr">
        <is>
          <t>Pairs with T14</t>
        </is>
      </c>
    </row>
    <row r="43">
      <c r="A43" s="20" t="inlineStr">
        <is>
          <t>Opening range</t>
        </is>
      </c>
      <c r="B43" s="20" t="inlineStr">
        <is>
          <t>T16</t>
        </is>
      </c>
      <c r="C43" s="20" t="inlineStr">
        <is>
          <t>Opening-range break count</t>
        </is>
      </c>
      <c r="D43" s="20" t="inlineStr">
        <is>
          <t>count</t>
        </is>
      </c>
      <c r="E43" s="20" t="inlineStr">
        <is>
          <t>30s rolling</t>
        </is>
      </c>
      <c r="F43" s="20" t="inlineStr">
        <is>
          <t>unresolved discovery vs stable anchor</t>
        </is>
      </c>
      <c r="G43" s="20" t="inlineStr">
        <is>
          <t>Missing</t>
        </is>
      </c>
      <c r="H43" s="20" t="inlineStr">
        <is>
          <t>Missing</t>
        </is>
      </c>
      <c r="I43" s="20" t="inlineStr">
        <is>
          <t>Should-have</t>
        </is>
      </c>
      <c r="J43" s="20" t="inlineStr">
        <is>
          <t>Low</t>
        </is>
      </c>
      <c r="K43" s="20" t="inlineStr">
        <is>
          <t>derived from price path</t>
        </is>
      </c>
      <c r="L43" s="20" t="inlineStr">
        <is>
          <t>No playbook logic here</t>
        </is>
      </c>
    </row>
    <row r="44">
      <c r="A44" s="20" t="inlineStr">
        <is>
          <t>Realised state</t>
        </is>
      </c>
      <c r="B44" s="20" t="inlineStr">
        <is>
          <t>T17</t>
        </is>
      </c>
      <c r="C44" s="20" t="inlineStr">
        <is>
          <t>Rolling realised vol 5m</t>
        </is>
      </c>
      <c r="D44" s="20" t="inlineStr">
        <is>
          <t>bps</t>
        </is>
      </c>
      <c r="E44" s="20" t="inlineStr">
        <is>
          <t>30s rolling</t>
        </is>
      </c>
      <c r="F44" s="20" t="inlineStr">
        <is>
          <t>disorder vs compression</t>
        </is>
      </c>
      <c r="G44" s="20" t="inlineStr">
        <is>
          <t>Missing</t>
        </is>
      </c>
      <c r="H44" s="20" t="inlineStr">
        <is>
          <t>Missing</t>
        </is>
      </c>
      <c r="I44" s="20" t="inlineStr">
        <is>
          <t>Must-have</t>
        </is>
      </c>
      <c r="J44" s="20" t="inlineStr">
        <is>
          <t>Low</t>
        </is>
      </c>
      <c r="K44" s="20" t="inlineStr">
        <is>
          <t>derived from 30s returns</t>
        </is>
      </c>
      <c r="L44" s="20" t="inlineStr">
        <is>
          <t>Short-window state</t>
        </is>
      </c>
    </row>
    <row r="45">
      <c r="A45" s="20" t="inlineStr">
        <is>
          <t>Realised state</t>
        </is>
      </c>
      <c r="B45" s="20" t="inlineStr">
        <is>
          <t>T18</t>
        </is>
      </c>
      <c r="C45" s="20" t="inlineStr">
        <is>
          <t>Rolling realised vol 15m</t>
        </is>
      </c>
      <c r="D45" s="20" t="inlineStr">
        <is>
          <t>bps</t>
        </is>
      </c>
      <c r="E45" s="20" t="inlineStr">
        <is>
          <t>30s rolling</t>
        </is>
      </c>
      <c r="F45" s="20" t="inlineStr">
        <is>
          <t>persistent vs transient state</t>
        </is>
      </c>
      <c r="G45" s="20" t="inlineStr">
        <is>
          <t>Missing</t>
        </is>
      </c>
      <c r="H45" s="20" t="inlineStr">
        <is>
          <t>Missing</t>
        </is>
      </c>
      <c r="I45" s="20" t="inlineStr">
        <is>
          <t>Should-have</t>
        </is>
      </c>
      <c r="J45" s="20" t="inlineStr">
        <is>
          <t>Low</t>
        </is>
      </c>
      <c r="K45" s="20" t="inlineStr">
        <is>
          <t>derived from 30s returns</t>
        </is>
      </c>
      <c r="L45" s="20" t="inlineStr">
        <is>
          <t>Longer short window</t>
        </is>
      </c>
    </row>
    <row r="46">
      <c r="A46" s="20" t="inlineStr">
        <is>
          <t>Participation</t>
        </is>
      </c>
      <c r="B46" s="20" t="inlineStr">
        <is>
          <t>T19</t>
        </is>
      </c>
      <c r="C46" s="20" t="inlineStr">
        <is>
          <t>Relative volume vs intraday curve</t>
        </is>
      </c>
      <c r="D46" s="20" t="inlineStr">
        <is>
          <t>ratio</t>
        </is>
      </c>
      <c r="E46" s="20" t="inlineStr">
        <is>
          <t>30s rolling</t>
        </is>
      </c>
      <c r="F46" s="20" t="inlineStr">
        <is>
          <t>open/close participation versus normal</t>
        </is>
      </c>
      <c r="G46" s="20" t="inlineStr">
        <is>
          <t>Missing</t>
        </is>
      </c>
      <c r="H46" s="20" t="inlineStr">
        <is>
          <t>Missing</t>
        </is>
      </c>
      <c r="I46" s="20" t="inlineStr">
        <is>
          <t>Must-have</t>
        </is>
      </c>
      <c r="J46" s="20" t="inlineStr">
        <is>
          <t>Low</t>
        </is>
      </c>
      <c r="K46" s="20" t="inlineStr">
        <is>
          <t>historical baseline + T10</t>
        </is>
      </c>
      <c r="L46" s="20" t="inlineStr">
        <is>
          <t>Lets tape disagree with clock</t>
        </is>
      </c>
    </row>
    <row r="47">
      <c r="A47" s="20" t="inlineStr">
        <is>
          <t>Participation</t>
        </is>
      </c>
      <c r="B47" s="20" t="inlineStr">
        <is>
          <t>T20</t>
        </is>
      </c>
      <c r="C47" s="20" t="inlineStr">
        <is>
          <t>Rolling 5m range</t>
        </is>
      </c>
      <c r="D47" s="20" t="inlineStr">
        <is>
          <t>bps</t>
        </is>
      </c>
      <c r="E47" s="20" t="inlineStr">
        <is>
          <t>30s rolling</t>
        </is>
      </c>
      <c r="F47" s="20" t="inlineStr">
        <is>
          <t>compression vs expansion</t>
        </is>
      </c>
      <c r="G47" s="20" t="inlineStr">
        <is>
          <t>Missing</t>
        </is>
      </c>
      <c r="H47" s="20" t="inlineStr">
        <is>
          <t>Missing</t>
        </is>
      </c>
      <c r="I47" s="20" t="inlineStr">
        <is>
          <t>Must-have</t>
        </is>
      </c>
      <c r="J47" s="20" t="inlineStr">
        <is>
          <t>Low</t>
        </is>
      </c>
      <c r="K47" s="20" t="inlineStr">
        <is>
          <t>derived from price path</t>
        </is>
      </c>
      <c r="L47" s="20" t="inlineStr">
        <is>
          <t>Simple structure proxy</t>
        </is>
      </c>
    </row>
    <row r="48">
      <c r="A48" s="20" t="inlineStr">
        <is>
          <t>Participation</t>
        </is>
      </c>
      <c r="B48" s="20" t="inlineStr">
        <is>
          <t>T21</t>
        </is>
      </c>
      <c r="C48" s="20" t="inlineStr">
        <is>
          <t>Impulse age</t>
        </is>
      </c>
      <c r="D48" s="20" t="inlineStr">
        <is>
          <t>minutes</t>
        </is>
      </c>
      <c r="E48" s="20" t="inlineStr">
        <is>
          <t>30s rolling</t>
        </is>
      </c>
      <c r="F48" s="20" t="inlineStr">
        <is>
          <t>anchor vs active trend</t>
        </is>
      </c>
      <c r="G48" s="20" t="inlineStr">
        <is>
          <t>Missing</t>
        </is>
      </c>
      <c r="H48" s="20" t="inlineStr">
        <is>
          <t>Missing</t>
        </is>
      </c>
      <c r="I48" s="20" t="inlineStr">
        <is>
          <t>Should-have</t>
        </is>
      </c>
      <c r="J48" s="20" t="inlineStr">
        <is>
          <t>Low</t>
        </is>
      </c>
      <c r="K48" s="20" t="inlineStr">
        <is>
          <t>derived from price path</t>
        </is>
      </c>
      <c r="L48" s="20" t="inlineStr">
        <is>
          <t>Simple calm/activity proxy</t>
        </is>
      </c>
    </row>
    <row r="49">
      <c r="A49" s="20" t="inlineStr">
        <is>
          <t>Microstructure optional</t>
        </is>
      </c>
      <c r="B49" s="20" t="inlineStr">
        <is>
          <t>T22</t>
        </is>
      </c>
      <c r="C49" s="20" t="inlineStr">
        <is>
          <t>Bid-ask spread</t>
        </is>
      </c>
      <c r="D49" s="20" t="inlineStr">
        <is>
          <t>bps</t>
        </is>
      </c>
      <c r="E49" s="20" t="inlineStr">
        <is>
          <t>30s</t>
        </is>
      </c>
      <c r="F49" s="20" t="inlineStr">
        <is>
          <t>liquidity stress</t>
        </is>
      </c>
      <c r="G49" s="20" t="inlineStr">
        <is>
          <t>Missing</t>
        </is>
      </c>
      <c r="H49" s="20" t="inlineStr">
        <is>
          <t>Missing</t>
        </is>
      </c>
      <c r="I49" s="20" t="inlineStr">
        <is>
          <t>Optional v2</t>
        </is>
      </c>
      <c r="J49" s="20" t="inlineStr">
        <is>
          <t>Low</t>
        </is>
      </c>
      <c r="K49" s="20" t="inlineStr">
        <is>
          <t>quote data</t>
        </is>
      </c>
      <c r="L49" s="20" t="inlineStr">
        <is>
          <t>Useful if feed quality allows</t>
        </is>
      </c>
    </row>
    <row r="50">
      <c r="A50" s="20" t="inlineStr">
        <is>
          <t>Microstructure optional</t>
        </is>
      </c>
      <c r="B50" s="20" t="inlineStr">
        <is>
          <t>T23</t>
        </is>
      </c>
      <c r="C50" s="20" t="inlineStr">
        <is>
          <t>Trade count</t>
        </is>
      </c>
      <c r="D50" s="20" t="inlineStr">
        <is>
          <t>count</t>
        </is>
      </c>
      <c r="E50" s="20" t="inlineStr">
        <is>
          <t>30s</t>
        </is>
      </c>
      <c r="F50" s="20" t="inlineStr">
        <is>
          <t>participation quality</t>
        </is>
      </c>
      <c r="G50" s="20" t="inlineStr">
        <is>
          <t>Missing</t>
        </is>
      </c>
      <c r="H50" s="20" t="inlineStr">
        <is>
          <t>Missing</t>
        </is>
      </c>
      <c r="I50" s="20" t="inlineStr">
        <is>
          <t>Optional v2</t>
        </is>
      </c>
      <c r="J50" s="20" t="inlineStr">
        <is>
          <t>Low</t>
        </is>
      </c>
      <c r="K50" s="20" t="inlineStr">
        <is>
          <t>trade tape</t>
        </is>
      </c>
      <c r="L50" s="20" t="inlineStr">
        <is>
          <t>Useful if interval volume is noisy</t>
        </is>
      </c>
    </row>
    <row r="51">
      <c r="A51" s="20" t="inlineStr">
        <is>
          <t>Close optional</t>
        </is>
      </c>
      <c r="B51" s="20" t="inlineStr">
        <is>
          <t>T24</t>
        </is>
      </c>
      <c r="C51" s="20" t="inlineStr">
        <is>
          <t>Close imbalance proxy</t>
        </is>
      </c>
      <c r="D51" s="20" t="inlineStr">
        <is>
          <t>signed ratio</t>
        </is>
      </c>
      <c r="E51" s="20" t="inlineStr">
        <is>
          <t>late session</t>
        </is>
      </c>
      <c r="F51" s="20" t="inlineStr">
        <is>
          <t>auction pressure refinement</t>
        </is>
      </c>
      <c r="G51" s="20" t="inlineStr">
        <is>
          <t>Missing</t>
        </is>
      </c>
      <c r="H51" s="20" t="inlineStr">
        <is>
          <t>Missing</t>
        </is>
      </c>
      <c r="I51" s="20" t="inlineStr">
        <is>
          <t>Optional v2</t>
        </is>
      </c>
      <c r="J51" s="20" t="inlineStr">
        <is>
          <t>Low</t>
        </is>
      </c>
      <c r="K51" s="20" t="inlineStr">
        <is>
          <t>auction/imbalance feed</t>
        </is>
      </c>
      <c r="L51" s="20" t="inlineStr">
        <is>
          <t>Useful near 15:50+</t>
        </is>
      </c>
    </row>
    <row r="54" ht="24" customHeight="1">
      <c r="A54" s="1" t="inlineStr">
        <is>
          <t>Explicit downstream outputs that Step 1 must NOT consume</t>
        </is>
      </c>
    </row>
    <row r="55">
      <c r="A55" s="15" t="inlineStr">
        <is>
          <t>Excluded output / family</t>
        </is>
      </c>
      <c r="B55" s="15" t="inlineStr">
        <is>
          <t>Why blocked</t>
        </is>
      </c>
      <c r="C55" s="15" t="inlineStr">
        <is>
          <t>Safe alternative if needed</t>
        </is>
      </c>
    </row>
    <row r="56" ht="34" customHeight="1">
      <c r="A56" s="20" t="inlineStr">
        <is>
          <t>Derived_Beta_Leadership outputs</t>
        </is>
      </c>
      <c r="B56" s="20" t="inlineStr">
        <is>
          <t>These belong to Market Regime Context (Step 2), not Temporal Context (Step 1).</t>
        </is>
      </c>
      <c r="C56" s="20" t="inlineStr">
        <is>
          <t>If timing needs beta context later, let Step 2 consume the shared primitives separately.</t>
        </is>
      </c>
    </row>
    <row r="57" ht="34" customHeight="1">
      <c r="A57" s="20" t="inlineStr">
        <is>
          <t>Derived_Vol_Rates_FX scores</t>
        </is>
      </c>
      <c r="B57" s="20" t="inlineStr">
        <is>
          <t>Macro regime scores would leak later-stage interpretation back into the time layer.</t>
        </is>
      </c>
      <c r="C57" s="20" t="inlineStr">
        <is>
          <t>Capture only event/expiry timestamps and tape primitives in Step 1.</t>
        </is>
      </c>
    </row>
    <row r="58" ht="34" customHeight="1">
      <c r="A58" s="20" t="inlineStr">
        <is>
          <t>Derived_Execution_Options scores (gamma pressure / flow bias / IV-vs-RV / term stress / skew stress)</t>
        </is>
      </c>
      <c r="B58" s="20" t="inlineStr">
        <is>
          <t>These are Step 3 outputs and would create circularity if used to define time-of-day behaviour.</t>
        </is>
      </c>
      <c r="C58" s="20" t="inlineStr">
        <is>
          <t>If a primitive expiry calendar is needed, duplicate the timestamp/calendar input only.</t>
        </is>
      </c>
    </row>
    <row r="59" ht="34" customHeight="1">
      <c r="A59" s="20" t="inlineStr">
        <is>
          <t>Derived_Asia_Breadth outputs</t>
        </is>
      </c>
      <c r="B59" s="20" t="inlineStr">
        <is>
          <t>Asia handoff and breadth are market regime context, not the intraday time-state itself.</t>
        </is>
      </c>
      <c r="C59" s="20" t="inlineStr">
        <is>
          <t>Keep Step 1 to price/volume/VWAP/opening-range/event/expiry primitives.</t>
        </is>
      </c>
    </row>
    <row r="60" ht="34" customHeight="1">
      <c r="A60" s="20" t="inlineStr">
        <is>
          <t>Posture/risk vetoes and playbook eligibility</t>
        </is>
      </c>
      <c r="B60" s="20" t="inlineStr">
        <is>
          <t>These are consequences of earlier cognition steps, not valid inputs to them.</t>
        </is>
      </c>
      <c r="C60" s="20" t="inlineStr">
        <is>
          <t>Never feed these back into Step 1.</t>
        </is>
      </c>
    </row>
    <row r="63" ht="24" customHeight="1">
      <c r="A63" s="1" t="inlineStr">
        <is>
          <t>Working design recommendation</t>
        </is>
      </c>
    </row>
    <row r="64" ht="24" customHeight="1">
      <c r="A64" s="20" t="inlineStr">
        <is>
          <t>• Keep two outputs in Step 1: (1) clock_envelope and (2) behavioural_phase.</t>
        </is>
      </c>
    </row>
    <row r="65" ht="24" customHeight="1">
      <c r="A65" s="20" t="inlineStr">
        <is>
          <t>• Let the clock act as a prior only; let primitive 30-second observables decide whether behaviour has stabilised, compressed, trended, or stayed disorderly.</t>
        </is>
      </c>
    </row>
    <row r="66" ht="24" customHeight="1">
      <c r="A66" s="20" t="inlineStr">
        <is>
          <t>• Preserve expiry-cycle state and event-window state in Step 1 because they are calendar/time constructs, not later cognitive verdicts.</t>
        </is>
      </c>
    </row>
    <row r="67" ht="24" customHeight="1">
      <c r="A67" s="20" t="inlineStr">
        <is>
          <t>• Use a transparent scorecard or finite-state machine for workbook exploration first; only then harden into code.</t>
        </is>
      </c>
    </row>
  </sheetData>
  <mergeCells count="11">
    <mergeCell ref="A26:L26"/>
    <mergeCell ref="A54:L54"/>
    <mergeCell ref="A2:L2"/>
    <mergeCell ref="A64:L64"/>
    <mergeCell ref="A63:L63"/>
    <mergeCell ref="A1:L1"/>
    <mergeCell ref="A66:L66"/>
    <mergeCell ref="A4:F4"/>
    <mergeCell ref="A67:L67"/>
    <mergeCell ref="H4:L4"/>
    <mergeCell ref="A65:L65"/>
  </mergeCell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9" customWidth="1" min="3" max="3"/>
    <col width="12" customWidth="1" min="4" max="4"/>
    <col width="10" customWidth="1" min="5" max="5"/>
    <col width="12" customWidth="1" min="6" max="6"/>
    <col width="10" customWidth="1" min="7" max="7"/>
    <col width="13" customWidth="1" min="8" max="8"/>
    <col width="13" customWidth="1" min="9" max="9"/>
    <col width="10" customWidth="1" min="10" max="10"/>
    <col width="18" customWidth="1" min="11" max="11"/>
    <col width="12" customWidth="1" min="12" max="12"/>
    <col width="24" customWidth="1" min="13" max="13"/>
    <col width="10" customWidth="1" min="14" max="14"/>
    <col width="12" customWidth="1" min="15" max="15"/>
    <col width="10" customWidth="1" min="16" max="16"/>
    <col width="10" customWidth="1" min="17" max="17"/>
    <col width="14" customWidth="1" min="18" max="18"/>
    <col width="16" customWidth="1" min="19" max="19"/>
    <col width="12" customWidth="1" min="20" max="20"/>
    <col width="10" customWidth="1" min="21" max="21"/>
    <col width="10" customWidth="1" min="22" max="22"/>
    <col width="14" customWidth="1" min="23" max="23"/>
    <col width="16" customWidth="1" min="24" max="24"/>
    <col width="12" customWidth="1" min="25" max="25"/>
    <col width="12" customWidth="1" min="26" max="26"/>
    <col width="16" customWidth="1" min="27" max="27"/>
    <col width="12" customWidth="1" min="28" max="28"/>
    <col width="10" customWidth="1" min="29" max="29"/>
    <col width="20" customWidth="1" min="30" max="30"/>
    <col width="20" customWidth="1" min="31" max="31"/>
    <col width="12" customWidth="1" min="32" max="32"/>
  </cols>
  <sheetData>
    <row r="1">
      <c r="A1" s="1" t="inlineStr">
        <is>
          <t>Temporal Step1 Tests — 30-second behavioural-state harness</t>
        </is>
      </c>
    </row>
    <row r="2" ht="28" customHeight="1">
      <c r="A2" s="69" t="inlineStr">
        <is>
          <t>Transparent workbook harness for exploring Step 1 without importing Step 2/3 outputs. Thresholds live on Temporal_Step1_Framework.</t>
        </is>
      </c>
    </row>
    <row r="3" ht="20" customHeight="1">
      <c r="A3" s="69" t="inlineStr">
        <is>
          <t>• Clock envelope and behavioural phase are separate outputs.</t>
        </is>
      </c>
    </row>
    <row r="4" ht="20" customHeight="1">
      <c r="A4" s="69" t="inlineStr">
        <is>
          <t>• Event and expiry states stay in Step 1 because they are calendar/time constructs.</t>
        </is>
      </c>
    </row>
    <row r="5" ht="20" customHeight="1">
      <c r="A5" s="15" t="inlineStr">
        <is>
          <t>Case_ID</t>
        </is>
      </c>
      <c r="B5" s="15" t="inlineStr">
        <is>
          <t>Description</t>
        </is>
      </c>
      <c r="C5" s="15" t="inlineStr">
        <is>
          <t>Snapshot_TS_ET</t>
        </is>
      </c>
      <c r="D5" s="15" t="inlineStr">
        <is>
          <t>Session_Date_ET</t>
        </is>
      </c>
      <c r="E5" s="15" t="inlineStr">
        <is>
          <t>Weekday</t>
        </is>
      </c>
      <c r="F5" s="15" t="inlineStr">
        <is>
          <t>Week_of_Month</t>
        </is>
      </c>
      <c r="G5" s="15" t="inlineStr">
        <is>
          <t>Month</t>
        </is>
      </c>
      <c r="H5" s="15" t="inlineStr">
        <is>
          <t>Minutes_Since_Open</t>
        </is>
      </c>
      <c r="I5" s="15" t="inlineStr">
        <is>
          <t>Minutes_To_Close</t>
        </is>
      </c>
      <c r="J5" s="15" t="inlineStr">
        <is>
          <t>Expiry_Days</t>
        </is>
      </c>
      <c r="K5" s="15" t="inlineStr">
        <is>
          <t>Expiry_Cycle</t>
        </is>
      </c>
      <c r="L5" s="15" t="inlineStr">
        <is>
          <t>Event_Min_Rem</t>
        </is>
      </c>
      <c r="M5" s="15" t="inlineStr">
        <is>
          <t>Event_Window</t>
        </is>
      </c>
      <c r="N5" s="15" t="inlineStr">
        <is>
          <t>Gap_bps</t>
        </is>
      </c>
      <c r="O5" s="15" t="inlineStr">
        <is>
          <t>RelVol_vs_Curve</t>
        </is>
      </c>
      <c r="P5" s="15" t="inlineStr">
        <is>
          <t>RV5_bps</t>
        </is>
      </c>
      <c r="Q5" s="15" t="inlineStr">
        <is>
          <t>RV15_bps</t>
        </is>
      </c>
      <c r="R5" s="15" t="inlineStr">
        <is>
          <t>Dist_to_VWAP_bps</t>
        </is>
      </c>
      <c r="S5" s="15" t="inlineStr">
        <is>
          <t>VWAP_Slope_5m_bps</t>
        </is>
      </c>
      <c r="T5" s="15" t="inlineStr">
        <is>
          <t>OR_Width_bps</t>
        </is>
      </c>
      <c r="U5" s="15" t="inlineStr">
        <is>
          <t>OR_Breaks</t>
        </is>
      </c>
      <c r="V5" s="15" t="inlineStr">
        <is>
          <t>Range5_bps</t>
        </is>
      </c>
      <c r="W5" s="15" t="inlineStr">
        <is>
          <t>Impulse_Age_min</t>
        </is>
      </c>
      <c r="X5" s="15" t="inlineStr">
        <is>
          <t>Clock_Envelope</t>
        </is>
      </c>
      <c r="Y5" s="15" t="inlineStr">
        <is>
          <t>Disorder_Score</t>
        </is>
      </c>
      <c r="Z5" s="15" t="inlineStr">
        <is>
          <t>Anchor_Score</t>
        </is>
      </c>
      <c r="AA5" s="15" t="inlineStr">
        <is>
          <t>Compression_Score</t>
        </is>
      </c>
      <c r="AB5" s="15" t="inlineStr">
        <is>
          <t>Trend_Score</t>
        </is>
      </c>
      <c r="AC5" s="15" t="inlineStr">
        <is>
          <t>Close_Score</t>
        </is>
      </c>
      <c r="AD5" s="15" t="inlineStr">
        <is>
          <t>Behavioural_Phase</t>
        </is>
      </c>
      <c r="AE5" s="15" t="inlineStr">
        <is>
          <t>Expected_Phase</t>
        </is>
      </c>
      <c r="AF5" s="15" t="inlineStr">
        <is>
          <t>Test_Result</t>
        </is>
      </c>
    </row>
    <row r="6" ht="36" customHeight="1">
      <c r="A6" s="20" t="inlineStr">
        <is>
          <t>PRE01</t>
        </is>
      </c>
      <c r="B6" s="20" t="inlineStr">
        <is>
          <t>Pre-market only — no behavioural read yet</t>
        </is>
      </c>
      <c r="C6" s="66" t="n">
        <v>46106.36805555555</v>
      </c>
      <c r="D6" s="67">
        <f>INT(C6)</f>
        <v/>
      </c>
      <c r="E6" s="20">
        <f>CHOOSE(WEEKDAY(D6,2),"Mon","Tue","Wed","Thu","Fri","Sat","Sun")</f>
        <v/>
      </c>
      <c r="F6" s="20">
        <f>"W"&amp;INT((DAY(D6)-1)/7)+1</f>
        <v/>
      </c>
      <c r="G6" s="20">
        <f>CHOOSE(MONTH(D6),"Jan","Feb","Mar","Apr","May","Jun","Jul","Aug","Sep","Oct","Nov","Dec")</f>
        <v/>
      </c>
      <c r="H6" s="20">
        <f>ROUND((MOD(C6,1)-TIME(9,30,0))*1440,0)</f>
        <v/>
      </c>
      <c r="I6" s="20">
        <f>ROUND((TIME(16,0,0)-MOD(C6,1))*1440,0)</f>
        <v/>
      </c>
      <c r="J6" s="65" t="n">
        <v>4</v>
      </c>
      <c r="K6" s="20">
        <f>IF(J6="","no_expiry_context",IF(J6=0,"expiry_day",IF(AND(WEEKDAY(D6,2)=1,J6&gt;=4,J6&lt;=7),"post_expiry_reset",IF(J6&lt;=5,"front_week",IF(J6&lt;=14,"next_cycle","far_cycle")))))</f>
        <v/>
      </c>
      <c r="L6" s="65" t="inlineStr"/>
      <c r="M6" s="20">
        <f>IF(L6="","clear_window",IF(L6&lt;=0,"event_live_window",IF(L6&lt;=60,"event_imminent_window",IF(L6&lt;=240,"same_session_event_window","clear_window"))))</f>
        <v/>
      </c>
      <c r="N6" s="65" t="n">
        <v>0</v>
      </c>
      <c r="O6" s="65" t="n">
        <v>15</v>
      </c>
      <c r="P6" s="65" t="n">
        <v>0</v>
      </c>
      <c r="Q6" s="65" t="n">
        <v>0</v>
      </c>
      <c r="R6" s="65" t="n">
        <v>0</v>
      </c>
      <c r="S6" s="65" t="n">
        <v>0</v>
      </c>
      <c r="T6" s="65" t="n">
        <v>0</v>
      </c>
      <c r="U6" s="65" t="n">
        <v>0</v>
      </c>
      <c r="V6" s="65" t="n">
        <v>0</v>
      </c>
      <c r="W6" s="65" t="n">
        <v>0</v>
      </c>
      <c r="X6" s="20">
        <f>IF(H6&lt;0,"pre_market",IF(I6&lt;0,"after_hours",IF(I6&lt;=Temporal_Step1_Framework!$I$23,"close",IF(I6&lt;=Temporal_Step1_Framework!$I$22,"late_session",IF(H6&lt;30,"open_clock",IF(H6&lt;120,"early_clock",IF(H6&lt;240,"midday_clock","afternoon_clock")))))))</f>
        <v/>
      </c>
      <c r="Y6" s="20">
        <f>IF(AND(H6&gt;=0,H6&lt;=90,O6&gt;=Temporal_Step1_Framework!$I$6),1,0)+IF(AND(H6&gt;=0,H6&lt;=90,P6&gt;=Temporal_Step1_Framework!$I$7),1,0)+IF(AND(H6&gt;=0,H6&lt;=90,ABS(R6)&gt;=Temporal_Step1_Framework!$I$8),1,0)+IF(AND(H6&gt;=0,H6&lt;=90,U6&gt;=2),1,0)</f>
        <v/>
      </c>
      <c r="Z6" s="20">
        <f>IF(AND(H6&gt;=15,H6&lt;=120,ABS(R6)&lt;=Temporal_Step1_Framework!$I$9),1,0)+IF(AND(H6&gt;=15,H6&lt;=120,P6&lt;=Temporal_Step1_Framework!$I$10),1,0)+IF(AND(H6&gt;=15,H6&lt;=120,O6&gt;=Temporal_Step1_Framework!$I$11,O6&lt;=Temporal_Step1_Framework!$I$12),1,0)+IF(AND(H6&gt;=15,H6&lt;=120,W6&gt;=Temporal_Step1_Framework!$I$13),1,0)</f>
        <v/>
      </c>
      <c r="AA6" s="20">
        <f>IF(AND(H6&gt;=120,I6&gt;90,P6&lt;=Temporal_Step1_Framework!$I$14),1,0)+IF(AND(H6&gt;=120,I6&gt;90,V6&lt;=Temporal_Step1_Framework!$I$15),1,0)+IF(AND(H6&gt;=120,I6&gt;90,ABS(R6)&lt;=Temporal_Step1_Framework!$I$16),1,0)+IF(AND(H6&gt;=120,I6&gt;90,O6&lt;=Temporal_Step1_Framework!$I$17),1,0)</f>
        <v/>
      </c>
      <c r="AB6" s="20">
        <f>IF(AND(H6&gt;=45,I6&gt;90,ABS(S6)&gt;=Temporal_Step1_Framework!$I$18),1,0)+IF(AND(H6&gt;=45,I6&gt;90,ABS(R6)&gt;=Temporal_Step1_Framework!$I$19),1,0)+IF(AND(H6&gt;=45,I6&gt;90,O6&gt;=Temporal_Step1_Framework!$I$20),1,0)+IF(AND(H6&gt;=45,I6&gt;90,W6&lt;=Temporal_Step1_Framework!$I$21),1,0)</f>
        <v/>
      </c>
      <c r="AC6" s="20">
        <f>IF(I6&lt;=Temporal_Step1_Framework!$I$23,2,0)+IF(AND(I6&lt;=Temporal_Step1_Framework!$I$22,I6&gt;Temporal_Step1_Framework!$I$23),1,0)+IF(AND(I6&lt;=Temporal_Step1_Framework!$I$22,O6&gt;=1.10),1,0)+IF(AND(I6&lt;=Temporal_Step1_Framework!$I$22,ABS(S6)&gt;=10),1,0)</f>
        <v/>
      </c>
      <c r="AD6" s="20">
        <f>IF(H6&lt;0,"pre_market",IF(I6&lt;0,"after_hours",IF(I6&lt;=Temporal_Step1_Framework!$I$23,"dealer_unwind_close",IF(AND(I6&lt;=Temporal_Step1_Framework!$I$22,AC6&gt;=2),"power_hour",IF(Y6&gt;=2,"open_discovery",IF(AA6&gt;=3,"midday_compression",IF(AB6&gt;=3,"trend_persistence",IF(Z6&gt;=3,"early_anchor","unclear_transition"))))))))</f>
        <v/>
      </c>
      <c r="AE6" s="12" t="inlineStr">
        <is>
          <t>pre_market</t>
        </is>
      </c>
      <c r="AF6" s="68">
        <f>IF(AD6=AE6,"PASS","CHECK")</f>
        <v/>
      </c>
    </row>
    <row r="7" ht="36" customHeight="1">
      <c r="A7" s="20" t="inlineStr">
        <is>
          <t>OD01</t>
        </is>
      </c>
      <c r="B7" s="20" t="inlineStr">
        <is>
          <t>Open still chaotic at 09:37</t>
        </is>
      </c>
      <c r="C7" s="66" t="n">
        <v>46106.40069444444</v>
      </c>
      <c r="D7" s="67">
        <f>INT(C7)</f>
        <v/>
      </c>
      <c r="E7" s="20">
        <f>CHOOSE(WEEKDAY(D7,2),"Mon","Tue","Wed","Thu","Fri","Sat","Sun")</f>
        <v/>
      </c>
      <c r="F7" s="20">
        <f>"W"&amp;INT((DAY(D7)-1)/7)+1</f>
        <v/>
      </c>
      <c r="G7" s="20">
        <f>CHOOSE(MONTH(D7),"Jan","Feb","Mar","Apr","May","Jun","Jul","Aug","Sep","Oct","Nov","Dec")</f>
        <v/>
      </c>
      <c r="H7" s="20">
        <f>ROUND((MOD(C7,1)-TIME(9,30,0))*1440,0)</f>
        <v/>
      </c>
      <c r="I7" s="20">
        <f>ROUND((TIME(16,0,0)-MOD(C7,1))*1440,0)</f>
        <v/>
      </c>
      <c r="J7" s="65" t="n">
        <v>2</v>
      </c>
      <c r="K7" s="20">
        <f>IF(J7="","no_expiry_context",IF(J7=0,"expiry_day",IF(AND(WEEKDAY(D7,2)=1,J7&gt;=4,J7&lt;=7),"post_expiry_reset",IF(J7&lt;=5,"front_week",IF(J7&lt;=14,"next_cycle","far_cycle")))))</f>
        <v/>
      </c>
      <c r="L7" s="65" t="n">
        <v>-999</v>
      </c>
      <c r="M7" s="20">
        <f>IF(L7="","clear_window",IF(L7&lt;=0,"event_live_window",IF(L7&lt;=60,"event_imminent_window",IF(L7&lt;=240,"same_session_event_window","clear_window"))))</f>
        <v/>
      </c>
      <c r="N7" s="65" t="n">
        <v>0</v>
      </c>
      <c r="O7" s="64" t="n">
        <v>2.1</v>
      </c>
      <c r="P7" s="65" t="n">
        <v>125</v>
      </c>
      <c r="Q7" s="65" t="n">
        <v>140</v>
      </c>
      <c r="R7" s="65" t="n">
        <v>92</v>
      </c>
      <c r="S7" s="65" t="n">
        <v>18</v>
      </c>
      <c r="T7" s="65" t="n">
        <v>140</v>
      </c>
      <c r="U7" s="65" t="n">
        <v>3</v>
      </c>
      <c r="V7" s="65" t="n">
        <v>120</v>
      </c>
      <c r="W7" s="65" t="n">
        <v>1</v>
      </c>
      <c r="X7" s="20">
        <f>IF(H7&lt;0,"pre_market",IF(I7&lt;0,"after_hours",IF(I7&lt;=Temporal_Step1_Framework!$I$23,"close",IF(I7&lt;=Temporal_Step1_Framework!$I$22,"late_session",IF(H7&lt;30,"open_clock",IF(H7&lt;120,"early_clock",IF(H7&lt;240,"midday_clock","afternoon_clock")))))))</f>
        <v/>
      </c>
      <c r="Y7" s="20">
        <f>IF(AND(H7&gt;=0,H7&lt;=90,O7&gt;=Temporal_Step1_Framework!$I$6),1,0)+IF(AND(H7&gt;=0,H7&lt;=90,P7&gt;=Temporal_Step1_Framework!$I$7),1,0)+IF(AND(H7&gt;=0,H7&lt;=90,ABS(R7)&gt;=Temporal_Step1_Framework!$I$8),1,0)+IF(AND(H7&gt;=0,H7&lt;=90,U7&gt;=2),1,0)</f>
        <v/>
      </c>
      <c r="Z7" s="20">
        <f>IF(AND(H7&gt;=15,H7&lt;=120,ABS(R7)&lt;=Temporal_Step1_Framework!$I$9),1,0)+IF(AND(H7&gt;=15,H7&lt;=120,P7&lt;=Temporal_Step1_Framework!$I$10),1,0)+IF(AND(H7&gt;=15,H7&lt;=120,O7&gt;=Temporal_Step1_Framework!$I$11,O7&lt;=Temporal_Step1_Framework!$I$12),1,0)+IF(AND(H7&gt;=15,H7&lt;=120,W7&gt;=Temporal_Step1_Framework!$I$13),1,0)</f>
        <v/>
      </c>
      <c r="AA7" s="20">
        <f>IF(AND(H7&gt;=120,I7&gt;90,P7&lt;=Temporal_Step1_Framework!$I$14),1,0)+IF(AND(H7&gt;=120,I7&gt;90,V7&lt;=Temporal_Step1_Framework!$I$15),1,0)+IF(AND(H7&gt;=120,I7&gt;90,ABS(R7)&lt;=Temporal_Step1_Framework!$I$16),1,0)+IF(AND(H7&gt;=120,I7&gt;90,O7&lt;=Temporal_Step1_Framework!$I$17),1,0)</f>
        <v/>
      </c>
      <c r="AB7" s="20">
        <f>IF(AND(H7&gt;=45,I7&gt;90,ABS(S7)&gt;=Temporal_Step1_Framework!$I$18),1,0)+IF(AND(H7&gt;=45,I7&gt;90,ABS(R7)&gt;=Temporal_Step1_Framework!$I$19),1,0)+IF(AND(H7&gt;=45,I7&gt;90,O7&gt;=Temporal_Step1_Framework!$I$20),1,0)+IF(AND(H7&gt;=45,I7&gt;90,W7&lt;=Temporal_Step1_Framework!$I$21),1,0)</f>
        <v/>
      </c>
      <c r="AC7" s="20">
        <f>IF(I7&lt;=Temporal_Step1_Framework!$I$23,2,0)+IF(AND(I7&lt;=Temporal_Step1_Framework!$I$22,I7&gt;Temporal_Step1_Framework!$I$23),1,0)+IF(AND(I7&lt;=Temporal_Step1_Framework!$I$22,O7&gt;=1.10),1,0)+IF(AND(I7&lt;=Temporal_Step1_Framework!$I$22,ABS(S7)&gt;=10),1,0)</f>
        <v/>
      </c>
      <c r="AD7" s="20">
        <f>IF(H7&lt;0,"pre_market",IF(I7&lt;0,"after_hours",IF(I7&lt;=Temporal_Step1_Framework!$I$23,"dealer_unwind_close",IF(AND(I7&lt;=Temporal_Step1_Framework!$I$22,AC7&gt;=2),"power_hour",IF(Y7&gt;=2,"open_discovery",IF(AA7&gt;=3,"midday_compression",IF(AB7&gt;=3,"trend_persistence",IF(Z7&gt;=3,"early_anchor","unclear_transition"))))))))</f>
        <v/>
      </c>
      <c r="AE7" s="12" t="inlineStr">
        <is>
          <t>open_discovery</t>
        </is>
      </c>
      <c r="AF7" s="68">
        <f>IF(AD7=AE7,"PASS","CHECK")</f>
        <v/>
      </c>
    </row>
    <row r="8" ht="36" customHeight="1">
      <c r="A8" s="20" t="inlineStr">
        <is>
          <t>EA01</t>
        </is>
      </c>
      <c r="B8" s="20" t="inlineStr">
        <is>
          <t>Orderly anchor by 09:52</t>
        </is>
      </c>
      <c r="C8" s="66" t="n">
        <v>46106.41111111111</v>
      </c>
      <c r="D8" s="67">
        <f>INT(C8)</f>
        <v/>
      </c>
      <c r="E8" s="20">
        <f>CHOOSE(WEEKDAY(D8,2),"Mon","Tue","Wed","Thu","Fri","Sat","Sun")</f>
        <v/>
      </c>
      <c r="F8" s="20">
        <f>"W"&amp;INT((DAY(D8)-1)/7)+1</f>
        <v/>
      </c>
      <c r="G8" s="20">
        <f>CHOOSE(MONTH(D8),"Jan","Feb","Mar","Apr","May","Jun","Jul","Aug","Sep","Oct","Nov","Dec")</f>
        <v/>
      </c>
      <c r="H8" s="20">
        <f>ROUND((MOD(C8,1)-TIME(9,30,0))*1440,0)</f>
        <v/>
      </c>
      <c r="I8" s="20">
        <f>ROUND((TIME(16,0,0)-MOD(C8,1))*1440,0)</f>
        <v/>
      </c>
      <c r="J8" s="65" t="n">
        <v>2</v>
      </c>
      <c r="K8" s="20">
        <f>IF(J8="","no_expiry_context",IF(J8=0,"expiry_day",IF(AND(WEEKDAY(D8,2)=1,J8&gt;=4,J8&lt;=7),"post_expiry_reset",IF(J8&lt;=5,"front_week",IF(J8&lt;=14,"next_cycle","far_cycle")))))</f>
        <v/>
      </c>
      <c r="L8" s="65" t="n">
        <v>999</v>
      </c>
      <c r="M8" s="20">
        <f>IF(L8="","clear_window",IF(L8&lt;=0,"event_live_window",IF(L8&lt;=60,"event_imminent_window",IF(L8&lt;=240,"same_session_event_window","clear_window"))))</f>
        <v/>
      </c>
      <c r="N8" s="65" t="n">
        <v>0</v>
      </c>
      <c r="O8" s="64" t="n">
        <v>1.15</v>
      </c>
      <c r="P8" s="65" t="n">
        <v>48</v>
      </c>
      <c r="Q8" s="65" t="n">
        <v>70</v>
      </c>
      <c r="R8" s="65" t="n">
        <v>18</v>
      </c>
      <c r="S8" s="65" t="n">
        <v>6</v>
      </c>
      <c r="T8" s="65" t="n">
        <v>110</v>
      </c>
      <c r="U8" s="65" t="n">
        <v>1</v>
      </c>
      <c r="V8" s="65" t="n">
        <v>55</v>
      </c>
      <c r="W8" s="65" t="n">
        <v>8</v>
      </c>
      <c r="X8" s="20">
        <f>IF(H8&lt;0,"pre_market",IF(I8&lt;0,"after_hours",IF(I8&lt;=Temporal_Step1_Framework!$I$23,"close",IF(I8&lt;=Temporal_Step1_Framework!$I$22,"late_session",IF(H8&lt;30,"open_clock",IF(H8&lt;120,"early_clock",IF(H8&lt;240,"midday_clock","afternoon_clock")))))))</f>
        <v/>
      </c>
      <c r="Y8" s="20">
        <f>IF(AND(H8&gt;=0,H8&lt;=90,O8&gt;=Temporal_Step1_Framework!$I$6),1,0)+IF(AND(H8&gt;=0,H8&lt;=90,P8&gt;=Temporal_Step1_Framework!$I$7),1,0)+IF(AND(H8&gt;=0,H8&lt;=90,ABS(R8)&gt;=Temporal_Step1_Framework!$I$8),1,0)+IF(AND(H8&gt;=0,H8&lt;=90,U8&gt;=2),1,0)</f>
        <v/>
      </c>
      <c r="Z8" s="20">
        <f>IF(AND(H8&gt;=15,H8&lt;=120,ABS(R8)&lt;=Temporal_Step1_Framework!$I$9),1,0)+IF(AND(H8&gt;=15,H8&lt;=120,P8&lt;=Temporal_Step1_Framework!$I$10),1,0)+IF(AND(H8&gt;=15,H8&lt;=120,O8&gt;=Temporal_Step1_Framework!$I$11,O8&lt;=Temporal_Step1_Framework!$I$12),1,0)+IF(AND(H8&gt;=15,H8&lt;=120,W8&gt;=Temporal_Step1_Framework!$I$13),1,0)</f>
        <v/>
      </c>
      <c r="AA8" s="20">
        <f>IF(AND(H8&gt;=120,I8&gt;90,P8&lt;=Temporal_Step1_Framework!$I$14),1,0)+IF(AND(H8&gt;=120,I8&gt;90,V8&lt;=Temporal_Step1_Framework!$I$15),1,0)+IF(AND(H8&gt;=120,I8&gt;90,ABS(R8)&lt;=Temporal_Step1_Framework!$I$16),1,0)+IF(AND(H8&gt;=120,I8&gt;90,O8&lt;=Temporal_Step1_Framework!$I$17),1,0)</f>
        <v/>
      </c>
      <c r="AB8" s="20">
        <f>IF(AND(H8&gt;=45,I8&gt;90,ABS(S8)&gt;=Temporal_Step1_Framework!$I$18),1,0)+IF(AND(H8&gt;=45,I8&gt;90,ABS(R8)&gt;=Temporal_Step1_Framework!$I$19),1,0)+IF(AND(H8&gt;=45,I8&gt;90,O8&gt;=Temporal_Step1_Framework!$I$20),1,0)+IF(AND(H8&gt;=45,I8&gt;90,W8&lt;=Temporal_Step1_Framework!$I$21),1,0)</f>
        <v/>
      </c>
      <c r="AC8" s="20">
        <f>IF(I8&lt;=Temporal_Step1_Framework!$I$23,2,0)+IF(AND(I8&lt;=Temporal_Step1_Framework!$I$22,I8&gt;Temporal_Step1_Framework!$I$23),1,0)+IF(AND(I8&lt;=Temporal_Step1_Framework!$I$22,O8&gt;=1.10),1,0)+IF(AND(I8&lt;=Temporal_Step1_Framework!$I$22,ABS(S8)&gt;=10),1,0)</f>
        <v/>
      </c>
      <c r="AD8" s="20">
        <f>IF(H8&lt;0,"pre_market",IF(I8&lt;0,"after_hours",IF(I8&lt;=Temporal_Step1_Framework!$I$23,"dealer_unwind_close",IF(AND(I8&lt;=Temporal_Step1_Framework!$I$22,AC8&gt;=2),"power_hour",IF(Y8&gt;=2,"open_discovery",IF(AA8&gt;=3,"midday_compression",IF(AB8&gt;=3,"trend_persistence",IF(Z8&gt;=3,"early_anchor","unclear_transition"))))))))</f>
        <v/>
      </c>
      <c r="AE8" s="12" t="inlineStr">
        <is>
          <t>early_anchor</t>
        </is>
      </c>
      <c r="AF8" s="68">
        <f>IF(AD8=AE8,"PASS","CHECK")</f>
        <v/>
      </c>
    </row>
    <row r="9" ht="36" customHeight="1">
      <c r="A9" s="20" t="inlineStr">
        <is>
          <t>MC01</t>
        </is>
      </c>
      <c r="B9" s="20" t="inlineStr">
        <is>
          <t>Midday compression at 11:38</t>
        </is>
      </c>
      <c r="C9" s="66" t="n">
        <v>46106.48472222222</v>
      </c>
      <c r="D9" s="67">
        <f>INT(C9)</f>
        <v/>
      </c>
      <c r="E9" s="20">
        <f>CHOOSE(WEEKDAY(D9,2),"Mon","Tue","Wed","Thu","Fri","Sat","Sun")</f>
        <v/>
      </c>
      <c r="F9" s="20">
        <f>"W"&amp;INT((DAY(D9)-1)/7)+1</f>
        <v/>
      </c>
      <c r="G9" s="20">
        <f>CHOOSE(MONTH(D9),"Jan","Feb","Mar","Apr","May","Jun","Jul","Aug","Sep","Oct","Nov","Dec")</f>
        <v/>
      </c>
      <c r="H9" s="20">
        <f>ROUND((MOD(C9,1)-TIME(9,30,0))*1440,0)</f>
        <v/>
      </c>
      <c r="I9" s="20">
        <f>ROUND((TIME(16,0,0)-MOD(C9,1))*1440,0)</f>
        <v/>
      </c>
      <c r="J9" s="65" t="n">
        <v>9</v>
      </c>
      <c r="K9" s="20">
        <f>IF(J9="","no_expiry_context",IF(J9=0,"expiry_day",IF(AND(WEEKDAY(D9,2)=1,J9&gt;=4,J9&lt;=7),"post_expiry_reset",IF(J9&lt;=5,"front_week",IF(J9&lt;=14,"next_cycle","far_cycle")))))</f>
        <v/>
      </c>
      <c r="L9" s="65" t="n">
        <v>999</v>
      </c>
      <c r="M9" s="20">
        <f>IF(L9="","clear_window",IF(L9&lt;=0,"event_live_window",IF(L9&lt;=60,"event_imminent_window",IF(L9&lt;=240,"same_session_event_window","clear_window"))))</f>
        <v/>
      </c>
      <c r="N9" s="65" t="n">
        <v>0</v>
      </c>
      <c r="O9" s="64" t="n">
        <v>0.72</v>
      </c>
      <c r="P9" s="65" t="n">
        <v>22</v>
      </c>
      <c r="Q9" s="65" t="n">
        <v>28</v>
      </c>
      <c r="R9" s="65" t="n">
        <v>10</v>
      </c>
      <c r="S9" s="65" t="n">
        <v>2</v>
      </c>
      <c r="T9" s="65" t="n">
        <v>115</v>
      </c>
      <c r="U9" s="65" t="n">
        <v>0</v>
      </c>
      <c r="V9" s="65" t="n">
        <v>20</v>
      </c>
      <c r="W9" s="65" t="n">
        <v>18</v>
      </c>
      <c r="X9" s="20">
        <f>IF(H9&lt;0,"pre_market",IF(I9&lt;0,"after_hours",IF(I9&lt;=Temporal_Step1_Framework!$I$23,"close",IF(I9&lt;=Temporal_Step1_Framework!$I$22,"late_session",IF(H9&lt;30,"open_clock",IF(H9&lt;120,"early_clock",IF(H9&lt;240,"midday_clock","afternoon_clock")))))))</f>
        <v/>
      </c>
      <c r="Y9" s="20">
        <f>IF(AND(H9&gt;=0,H9&lt;=90,O9&gt;=Temporal_Step1_Framework!$I$6),1,0)+IF(AND(H9&gt;=0,H9&lt;=90,P9&gt;=Temporal_Step1_Framework!$I$7),1,0)+IF(AND(H9&gt;=0,H9&lt;=90,ABS(R9)&gt;=Temporal_Step1_Framework!$I$8),1,0)+IF(AND(H9&gt;=0,H9&lt;=90,U9&gt;=2),1,0)</f>
        <v/>
      </c>
      <c r="Z9" s="20">
        <f>IF(AND(H9&gt;=15,H9&lt;=120,ABS(R9)&lt;=Temporal_Step1_Framework!$I$9),1,0)+IF(AND(H9&gt;=15,H9&lt;=120,P9&lt;=Temporal_Step1_Framework!$I$10),1,0)+IF(AND(H9&gt;=15,H9&lt;=120,O9&gt;=Temporal_Step1_Framework!$I$11,O9&lt;=Temporal_Step1_Framework!$I$12),1,0)+IF(AND(H9&gt;=15,H9&lt;=120,W9&gt;=Temporal_Step1_Framework!$I$13),1,0)</f>
        <v/>
      </c>
      <c r="AA9" s="20">
        <f>IF(AND(H9&gt;=120,I9&gt;90,P9&lt;=Temporal_Step1_Framework!$I$14),1,0)+IF(AND(H9&gt;=120,I9&gt;90,V9&lt;=Temporal_Step1_Framework!$I$15),1,0)+IF(AND(H9&gt;=120,I9&gt;90,ABS(R9)&lt;=Temporal_Step1_Framework!$I$16),1,0)+IF(AND(H9&gt;=120,I9&gt;90,O9&lt;=Temporal_Step1_Framework!$I$17),1,0)</f>
        <v/>
      </c>
      <c r="AB9" s="20">
        <f>IF(AND(H9&gt;=45,I9&gt;90,ABS(S9)&gt;=Temporal_Step1_Framework!$I$18),1,0)+IF(AND(H9&gt;=45,I9&gt;90,ABS(R9)&gt;=Temporal_Step1_Framework!$I$19),1,0)+IF(AND(H9&gt;=45,I9&gt;90,O9&gt;=Temporal_Step1_Framework!$I$20),1,0)+IF(AND(H9&gt;=45,I9&gt;90,W9&lt;=Temporal_Step1_Framework!$I$21),1,0)</f>
        <v/>
      </c>
      <c r="AC9" s="20">
        <f>IF(I9&lt;=Temporal_Step1_Framework!$I$23,2,0)+IF(AND(I9&lt;=Temporal_Step1_Framework!$I$22,I9&gt;Temporal_Step1_Framework!$I$23),1,0)+IF(AND(I9&lt;=Temporal_Step1_Framework!$I$22,O9&gt;=1.10),1,0)+IF(AND(I9&lt;=Temporal_Step1_Framework!$I$22,ABS(S9)&gt;=10),1,0)</f>
        <v/>
      </c>
      <c r="AD9" s="20">
        <f>IF(H9&lt;0,"pre_market",IF(I9&lt;0,"after_hours",IF(I9&lt;=Temporal_Step1_Framework!$I$23,"dealer_unwind_close",IF(AND(I9&lt;=Temporal_Step1_Framework!$I$22,AC9&gt;=2),"power_hour",IF(Y9&gt;=2,"open_discovery",IF(AA9&gt;=3,"midday_compression",IF(AB9&gt;=3,"trend_persistence",IF(Z9&gt;=3,"early_anchor","unclear_transition"))))))))</f>
        <v/>
      </c>
      <c r="AE9" s="12" t="inlineStr">
        <is>
          <t>midday_compression</t>
        </is>
      </c>
      <c r="AF9" s="68">
        <f>IF(AD9=AE9,"PASS","CHECK")</f>
        <v/>
      </c>
    </row>
    <row r="10" ht="36" customHeight="1">
      <c r="A10" s="20" t="inlineStr">
        <is>
          <t>TP01</t>
        </is>
      </c>
      <c r="B10" s="20" t="inlineStr">
        <is>
          <t>Afternoon trend persistence at 13:42</t>
        </is>
      </c>
      <c r="C10" s="66" t="n">
        <v>46106.57083333333</v>
      </c>
      <c r="D10" s="67">
        <f>INT(C10)</f>
        <v/>
      </c>
      <c r="E10" s="20">
        <f>CHOOSE(WEEKDAY(D10,2),"Mon","Tue","Wed","Thu","Fri","Sat","Sun")</f>
        <v/>
      </c>
      <c r="F10" s="20">
        <f>"W"&amp;INT((DAY(D10)-1)/7)+1</f>
        <v/>
      </c>
      <c r="G10" s="20">
        <f>CHOOSE(MONTH(D10),"Jan","Feb","Mar","Apr","May","Jun","Jul","Aug","Sep","Oct","Nov","Dec")</f>
        <v/>
      </c>
      <c r="H10" s="20">
        <f>ROUND((MOD(C10,1)-TIME(9,30,0))*1440,0)</f>
        <v/>
      </c>
      <c r="I10" s="20">
        <f>ROUND((TIME(16,0,0)-MOD(C10,1))*1440,0)</f>
        <v/>
      </c>
      <c r="J10" s="65" t="n">
        <v>2</v>
      </c>
      <c r="K10" s="20">
        <f>IF(J10="","no_expiry_context",IF(J10=0,"expiry_day",IF(AND(WEEKDAY(D10,2)=1,J10&gt;=4,J10&lt;=7),"post_expiry_reset",IF(J10&lt;=5,"front_week",IF(J10&lt;=14,"next_cycle","far_cycle")))))</f>
        <v/>
      </c>
      <c r="L10" s="65" t="n">
        <v>999</v>
      </c>
      <c r="M10" s="20">
        <f>IF(L10="","clear_window",IF(L10&lt;=0,"event_live_window",IF(L10&lt;=60,"event_imminent_window",IF(L10&lt;=240,"same_session_event_window","clear_window"))))</f>
        <v/>
      </c>
      <c r="N10" s="65" t="n">
        <v>0</v>
      </c>
      <c r="O10" s="64" t="n">
        <v>1.18</v>
      </c>
      <c r="P10" s="65" t="n">
        <v>58</v>
      </c>
      <c r="Q10" s="65" t="n">
        <v>64</v>
      </c>
      <c r="R10" s="65" t="n">
        <v>48</v>
      </c>
      <c r="S10" s="65" t="n">
        <v>24</v>
      </c>
      <c r="T10" s="65" t="n">
        <v>130</v>
      </c>
      <c r="U10" s="65" t="n">
        <v>1</v>
      </c>
      <c r="V10" s="65" t="n">
        <v>70</v>
      </c>
      <c r="W10" s="65" t="n">
        <v>3</v>
      </c>
      <c r="X10" s="20">
        <f>IF(H10&lt;0,"pre_market",IF(I10&lt;0,"after_hours",IF(I10&lt;=Temporal_Step1_Framework!$I$23,"close",IF(I10&lt;=Temporal_Step1_Framework!$I$22,"late_session",IF(H10&lt;30,"open_clock",IF(H10&lt;120,"early_clock",IF(H10&lt;240,"midday_clock","afternoon_clock")))))))</f>
        <v/>
      </c>
      <c r="Y10" s="20">
        <f>IF(AND(H10&gt;=0,H10&lt;=90,O10&gt;=Temporal_Step1_Framework!$I$6),1,0)+IF(AND(H10&gt;=0,H10&lt;=90,P10&gt;=Temporal_Step1_Framework!$I$7),1,0)+IF(AND(H10&gt;=0,H10&lt;=90,ABS(R10)&gt;=Temporal_Step1_Framework!$I$8),1,0)+IF(AND(H10&gt;=0,H10&lt;=90,U10&gt;=2),1,0)</f>
        <v/>
      </c>
      <c r="Z10" s="20">
        <f>IF(AND(H10&gt;=15,H10&lt;=120,ABS(R10)&lt;=Temporal_Step1_Framework!$I$9),1,0)+IF(AND(H10&gt;=15,H10&lt;=120,P10&lt;=Temporal_Step1_Framework!$I$10),1,0)+IF(AND(H10&gt;=15,H10&lt;=120,O10&gt;=Temporal_Step1_Framework!$I$11,O10&lt;=Temporal_Step1_Framework!$I$12),1,0)+IF(AND(H10&gt;=15,H10&lt;=120,W10&gt;=Temporal_Step1_Framework!$I$13),1,0)</f>
        <v/>
      </c>
      <c r="AA10" s="20">
        <f>IF(AND(H10&gt;=120,I10&gt;90,P10&lt;=Temporal_Step1_Framework!$I$14),1,0)+IF(AND(H10&gt;=120,I10&gt;90,V10&lt;=Temporal_Step1_Framework!$I$15),1,0)+IF(AND(H10&gt;=120,I10&gt;90,ABS(R10)&lt;=Temporal_Step1_Framework!$I$16),1,0)+IF(AND(H10&gt;=120,I10&gt;90,O10&lt;=Temporal_Step1_Framework!$I$17),1,0)</f>
        <v/>
      </c>
      <c r="AB10" s="20">
        <f>IF(AND(H10&gt;=45,I10&gt;90,ABS(S10)&gt;=Temporal_Step1_Framework!$I$18),1,0)+IF(AND(H10&gt;=45,I10&gt;90,ABS(R10)&gt;=Temporal_Step1_Framework!$I$19),1,0)+IF(AND(H10&gt;=45,I10&gt;90,O10&gt;=Temporal_Step1_Framework!$I$20),1,0)+IF(AND(H10&gt;=45,I10&gt;90,W10&lt;=Temporal_Step1_Framework!$I$21),1,0)</f>
        <v/>
      </c>
      <c r="AC10" s="20">
        <f>IF(I10&lt;=Temporal_Step1_Framework!$I$23,2,0)+IF(AND(I10&lt;=Temporal_Step1_Framework!$I$22,I10&gt;Temporal_Step1_Framework!$I$23),1,0)+IF(AND(I10&lt;=Temporal_Step1_Framework!$I$22,O10&gt;=1.10),1,0)+IF(AND(I10&lt;=Temporal_Step1_Framework!$I$22,ABS(S10)&gt;=10),1,0)</f>
        <v/>
      </c>
      <c r="AD10" s="20">
        <f>IF(H10&lt;0,"pre_market",IF(I10&lt;0,"after_hours",IF(I10&lt;=Temporal_Step1_Framework!$I$23,"dealer_unwind_close",IF(AND(I10&lt;=Temporal_Step1_Framework!$I$22,AC10&gt;=2),"power_hour",IF(Y10&gt;=2,"open_discovery",IF(AA10&gt;=3,"midday_compression",IF(AB10&gt;=3,"trend_persistence",IF(Z10&gt;=3,"early_anchor","unclear_transition"))))))))</f>
        <v/>
      </c>
      <c r="AE10" s="12" t="inlineStr">
        <is>
          <t>trend_persistence</t>
        </is>
      </c>
      <c r="AF10" s="68">
        <f>IF(AD10=AE10,"PASS","CHECK")</f>
        <v/>
      </c>
    </row>
    <row r="11" ht="36" customHeight="1">
      <c r="A11" s="20" t="inlineStr">
        <is>
          <t>PH01</t>
        </is>
      </c>
      <c r="B11" s="20" t="inlineStr">
        <is>
          <t>Power hour but not yet unwind at 15:10</t>
        </is>
      </c>
      <c r="C11" s="66" t="n">
        <v>46106.63194444445</v>
      </c>
      <c r="D11" s="67">
        <f>INT(C11)</f>
        <v/>
      </c>
      <c r="E11" s="20">
        <f>CHOOSE(WEEKDAY(D11,2),"Mon","Tue","Wed","Thu","Fri","Sat","Sun")</f>
        <v/>
      </c>
      <c r="F11" s="20">
        <f>"W"&amp;INT((DAY(D11)-1)/7)+1</f>
        <v/>
      </c>
      <c r="G11" s="20">
        <f>CHOOSE(MONTH(D11),"Jan","Feb","Mar","Apr","May","Jun","Jul","Aug","Sep","Oct","Nov","Dec")</f>
        <v/>
      </c>
      <c r="H11" s="20">
        <f>ROUND((MOD(C11,1)-TIME(9,30,0))*1440,0)</f>
        <v/>
      </c>
      <c r="I11" s="20">
        <f>ROUND((TIME(16,0,0)-MOD(C11,1))*1440,0)</f>
        <v/>
      </c>
      <c r="J11" s="65" t="n">
        <v>2</v>
      </c>
      <c r="K11" s="20">
        <f>IF(J11="","no_expiry_context",IF(J11=0,"expiry_day",IF(AND(WEEKDAY(D11,2)=1,J11&gt;=4,J11&lt;=7),"post_expiry_reset",IF(J11&lt;=5,"front_week",IF(J11&lt;=14,"next_cycle","far_cycle")))))</f>
        <v/>
      </c>
      <c r="L11" s="65" t="n">
        <v>50</v>
      </c>
      <c r="M11" s="20">
        <f>IF(L11="","clear_window",IF(L11&lt;=0,"event_live_window",IF(L11&lt;=60,"event_imminent_window",IF(L11&lt;=240,"same_session_event_window","clear_window"))))</f>
        <v/>
      </c>
      <c r="N11" s="65" t="n">
        <v>0</v>
      </c>
      <c r="O11" s="64" t="n">
        <v>1.16</v>
      </c>
      <c r="P11" s="65" t="n">
        <v>62</v>
      </c>
      <c r="Q11" s="65" t="n">
        <v>70</v>
      </c>
      <c r="R11" s="65" t="n">
        <v>44</v>
      </c>
      <c r="S11" s="65" t="n">
        <v>12</v>
      </c>
      <c r="T11" s="65" t="n">
        <v>135</v>
      </c>
      <c r="U11" s="65" t="n">
        <v>1</v>
      </c>
      <c r="V11" s="65" t="n">
        <v>76</v>
      </c>
      <c r="W11" s="65" t="n">
        <v>4</v>
      </c>
      <c r="X11" s="20">
        <f>IF(H11&lt;0,"pre_market",IF(I11&lt;0,"after_hours",IF(I11&lt;=Temporal_Step1_Framework!$I$23,"close",IF(I11&lt;=Temporal_Step1_Framework!$I$22,"late_session",IF(H11&lt;30,"open_clock",IF(H11&lt;120,"early_clock",IF(H11&lt;240,"midday_clock","afternoon_clock")))))))</f>
        <v/>
      </c>
      <c r="Y11" s="20">
        <f>IF(AND(H11&gt;=0,H11&lt;=90,O11&gt;=Temporal_Step1_Framework!$I$6),1,0)+IF(AND(H11&gt;=0,H11&lt;=90,P11&gt;=Temporal_Step1_Framework!$I$7),1,0)+IF(AND(H11&gt;=0,H11&lt;=90,ABS(R11)&gt;=Temporal_Step1_Framework!$I$8),1,0)+IF(AND(H11&gt;=0,H11&lt;=90,U11&gt;=2),1,0)</f>
        <v/>
      </c>
      <c r="Z11" s="20">
        <f>IF(AND(H11&gt;=15,H11&lt;=120,ABS(R11)&lt;=Temporal_Step1_Framework!$I$9),1,0)+IF(AND(H11&gt;=15,H11&lt;=120,P11&lt;=Temporal_Step1_Framework!$I$10),1,0)+IF(AND(H11&gt;=15,H11&lt;=120,O11&gt;=Temporal_Step1_Framework!$I$11,O11&lt;=Temporal_Step1_Framework!$I$12),1,0)+IF(AND(H11&gt;=15,H11&lt;=120,W11&gt;=Temporal_Step1_Framework!$I$13),1,0)</f>
        <v/>
      </c>
      <c r="AA11" s="20">
        <f>IF(AND(H11&gt;=120,I11&gt;90,P11&lt;=Temporal_Step1_Framework!$I$14),1,0)+IF(AND(H11&gt;=120,I11&gt;90,V11&lt;=Temporal_Step1_Framework!$I$15),1,0)+IF(AND(H11&gt;=120,I11&gt;90,ABS(R11)&lt;=Temporal_Step1_Framework!$I$16),1,0)+IF(AND(H11&gt;=120,I11&gt;90,O11&lt;=Temporal_Step1_Framework!$I$17),1,0)</f>
        <v/>
      </c>
      <c r="AB11" s="20">
        <f>IF(AND(H11&gt;=45,I11&gt;90,ABS(S11)&gt;=Temporal_Step1_Framework!$I$18),1,0)+IF(AND(H11&gt;=45,I11&gt;90,ABS(R11)&gt;=Temporal_Step1_Framework!$I$19),1,0)+IF(AND(H11&gt;=45,I11&gt;90,O11&gt;=Temporal_Step1_Framework!$I$20),1,0)+IF(AND(H11&gt;=45,I11&gt;90,W11&lt;=Temporal_Step1_Framework!$I$21),1,0)</f>
        <v/>
      </c>
      <c r="AC11" s="20">
        <f>IF(I11&lt;=Temporal_Step1_Framework!$I$23,2,0)+IF(AND(I11&lt;=Temporal_Step1_Framework!$I$22,I11&gt;Temporal_Step1_Framework!$I$23),1,0)+IF(AND(I11&lt;=Temporal_Step1_Framework!$I$22,O11&gt;=1.10),1,0)+IF(AND(I11&lt;=Temporal_Step1_Framework!$I$22,ABS(S11)&gt;=10),1,0)</f>
        <v/>
      </c>
      <c r="AD11" s="20">
        <f>IF(H11&lt;0,"pre_market",IF(I11&lt;0,"after_hours",IF(I11&lt;=Temporal_Step1_Framework!$I$23,"dealer_unwind_close",IF(AND(I11&lt;=Temporal_Step1_Framework!$I$22,AC11&gt;=2),"power_hour",IF(Y11&gt;=2,"open_discovery",IF(AA11&gt;=3,"midday_compression",IF(AB11&gt;=3,"trend_persistence",IF(Z11&gt;=3,"early_anchor","unclear_transition"))))))))</f>
        <v/>
      </c>
      <c r="AE11" s="12" t="inlineStr">
        <is>
          <t>power_hour</t>
        </is>
      </c>
      <c r="AF11" s="68">
        <f>IF(AD11=AE11,"PASS","CHECK")</f>
        <v/>
      </c>
    </row>
    <row r="12" ht="36" customHeight="1">
      <c r="A12" s="20" t="inlineStr">
        <is>
          <t>UC01</t>
        </is>
      </c>
      <c r="B12" s="20" t="inlineStr">
        <is>
          <t>Dealer unwind close at 15:47</t>
        </is>
      </c>
      <c r="C12" s="66" t="n">
        <v>46106.65763888889</v>
      </c>
      <c r="D12" s="67">
        <f>INT(C12)</f>
        <v/>
      </c>
      <c r="E12" s="20">
        <f>CHOOSE(WEEKDAY(D12,2),"Mon","Tue","Wed","Thu","Fri","Sat","Sun")</f>
        <v/>
      </c>
      <c r="F12" s="20">
        <f>"W"&amp;INT((DAY(D12)-1)/7)+1</f>
        <v/>
      </c>
      <c r="G12" s="20">
        <f>CHOOSE(MONTH(D12),"Jan","Feb","Mar","Apr","May","Jun","Jul","Aug","Sep","Oct","Nov","Dec")</f>
        <v/>
      </c>
      <c r="H12" s="20">
        <f>ROUND((MOD(C12,1)-TIME(9,30,0))*1440,0)</f>
        <v/>
      </c>
      <c r="I12" s="20">
        <f>ROUND((TIME(16,0,0)-MOD(C12,1))*1440,0)</f>
        <v/>
      </c>
      <c r="J12" s="65" t="n">
        <v>2</v>
      </c>
      <c r="K12" s="20">
        <f>IF(J12="","no_expiry_context",IF(J12=0,"expiry_day",IF(AND(WEEKDAY(D12,2)=1,J12&gt;=4,J12&lt;=7),"post_expiry_reset",IF(J12&lt;=5,"front_week",IF(J12&lt;=14,"next_cycle","far_cycle")))))</f>
        <v/>
      </c>
      <c r="L12" s="65" t="n">
        <v>20</v>
      </c>
      <c r="M12" s="20">
        <f>IF(L12="","clear_window",IF(L12&lt;=0,"event_live_window",IF(L12&lt;=60,"event_imminent_window",IF(L12&lt;=240,"same_session_event_window","clear_window"))))</f>
        <v/>
      </c>
      <c r="N12" s="65" t="n">
        <v>0</v>
      </c>
      <c r="O12" s="64" t="n">
        <v>1.35</v>
      </c>
      <c r="P12" s="65" t="n">
        <v>85</v>
      </c>
      <c r="Q12" s="65" t="n">
        <v>92</v>
      </c>
      <c r="R12" s="65" t="n">
        <v>62</v>
      </c>
      <c r="S12" s="65" t="n">
        <v>16</v>
      </c>
      <c r="T12" s="65" t="n">
        <v>150</v>
      </c>
      <c r="U12" s="65" t="n">
        <v>2</v>
      </c>
      <c r="V12" s="65" t="n">
        <v>95</v>
      </c>
      <c r="W12" s="65" t="n">
        <v>2</v>
      </c>
      <c r="X12" s="20">
        <f>IF(H12&lt;0,"pre_market",IF(I12&lt;0,"after_hours",IF(I12&lt;=Temporal_Step1_Framework!$I$23,"close",IF(I12&lt;=Temporal_Step1_Framework!$I$22,"late_session",IF(H12&lt;30,"open_clock",IF(H12&lt;120,"early_clock",IF(H12&lt;240,"midday_clock","afternoon_clock")))))))</f>
        <v/>
      </c>
      <c r="Y12" s="20">
        <f>IF(AND(H12&gt;=0,H12&lt;=90,O12&gt;=Temporal_Step1_Framework!$I$6),1,0)+IF(AND(H12&gt;=0,H12&lt;=90,P12&gt;=Temporal_Step1_Framework!$I$7),1,0)+IF(AND(H12&gt;=0,H12&lt;=90,ABS(R12)&gt;=Temporal_Step1_Framework!$I$8),1,0)+IF(AND(H12&gt;=0,H12&lt;=90,U12&gt;=2),1,0)</f>
        <v/>
      </c>
      <c r="Z12" s="20">
        <f>IF(AND(H12&gt;=15,H12&lt;=120,ABS(R12)&lt;=Temporal_Step1_Framework!$I$9),1,0)+IF(AND(H12&gt;=15,H12&lt;=120,P12&lt;=Temporal_Step1_Framework!$I$10),1,0)+IF(AND(H12&gt;=15,H12&lt;=120,O12&gt;=Temporal_Step1_Framework!$I$11,O12&lt;=Temporal_Step1_Framework!$I$12),1,0)+IF(AND(H12&gt;=15,H12&lt;=120,W12&gt;=Temporal_Step1_Framework!$I$13),1,0)</f>
        <v/>
      </c>
      <c r="AA12" s="20">
        <f>IF(AND(H12&gt;=120,I12&gt;90,P12&lt;=Temporal_Step1_Framework!$I$14),1,0)+IF(AND(H12&gt;=120,I12&gt;90,V12&lt;=Temporal_Step1_Framework!$I$15),1,0)+IF(AND(H12&gt;=120,I12&gt;90,ABS(R12)&lt;=Temporal_Step1_Framework!$I$16),1,0)+IF(AND(H12&gt;=120,I12&gt;90,O12&lt;=Temporal_Step1_Framework!$I$17),1,0)</f>
        <v/>
      </c>
      <c r="AB12" s="20">
        <f>IF(AND(H12&gt;=45,I12&gt;90,ABS(S12)&gt;=Temporal_Step1_Framework!$I$18),1,0)+IF(AND(H12&gt;=45,I12&gt;90,ABS(R12)&gt;=Temporal_Step1_Framework!$I$19),1,0)+IF(AND(H12&gt;=45,I12&gt;90,O12&gt;=Temporal_Step1_Framework!$I$20),1,0)+IF(AND(H12&gt;=45,I12&gt;90,W12&lt;=Temporal_Step1_Framework!$I$21),1,0)</f>
        <v/>
      </c>
      <c r="AC12" s="20">
        <f>IF(I12&lt;=Temporal_Step1_Framework!$I$23,2,0)+IF(AND(I12&lt;=Temporal_Step1_Framework!$I$22,I12&gt;Temporal_Step1_Framework!$I$23),1,0)+IF(AND(I12&lt;=Temporal_Step1_Framework!$I$22,O12&gt;=1.10),1,0)+IF(AND(I12&lt;=Temporal_Step1_Framework!$I$22,ABS(S12)&gt;=10),1,0)</f>
        <v/>
      </c>
      <c r="AD12" s="20">
        <f>IF(H12&lt;0,"pre_market",IF(I12&lt;0,"after_hours",IF(I12&lt;=Temporal_Step1_Framework!$I$23,"dealer_unwind_close",IF(AND(I12&lt;=Temporal_Step1_Framework!$I$22,AC12&gt;=2),"power_hour",IF(Y12&gt;=2,"open_discovery",IF(AA12&gt;=3,"midday_compression",IF(AB12&gt;=3,"trend_persistence",IF(Z12&gt;=3,"early_anchor","unclear_transition"))))))))</f>
        <v/>
      </c>
      <c r="AE12" s="12" t="inlineStr">
        <is>
          <t>dealer_unwind_close</t>
        </is>
      </c>
      <c r="AF12" s="68">
        <f>IF(AD12=AE12,"PASS","CHECK")</f>
        <v/>
      </c>
    </row>
    <row r="15">
      <c r="A15" s="63" t="inlineStr">
        <is>
          <t>Interpretation: the workbook is not declaring these thresholds “true”; it is giving Step 1 its own isolated surface for exploration before any code rewrite.</t>
        </is>
      </c>
    </row>
  </sheetData>
  <mergeCells count="5">
    <mergeCell ref="A1:AF1"/>
    <mergeCell ref="A4:AF4"/>
    <mergeCell ref="A3:AF3"/>
    <mergeCell ref="A15:AF15"/>
    <mergeCell ref="A2:A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4" customWidth="1" min="4" max="4"/>
    <col width="20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Raw Primitives Catalog</t>
        </is>
      </c>
    </row>
    <row r="2">
      <c r="A2" t="inlineStr">
        <is>
          <t>Direct vendor/feed captures only. No ratios, scores, slopes, or other feature-engineered fields belong on this sheet.</t>
        </is>
      </c>
    </row>
    <row r="3">
      <c r="A3" s="15" t="inlineStr">
        <is>
          <t>Family</t>
        </is>
      </c>
      <c r="B3" s="15" t="inlineStr">
        <is>
          <t>Field_ID</t>
        </is>
      </c>
      <c r="C3" s="15" t="inlineStr">
        <is>
          <t>Field_Name</t>
        </is>
      </c>
      <c r="D3" s="15" t="inlineStr">
        <is>
          <t>Unit</t>
        </is>
      </c>
      <c r="E3" s="15" t="inlineStr">
        <is>
          <t>Purpose</t>
        </is>
      </c>
      <c r="F3" s="15" t="inlineStr">
        <is>
          <t>Typical Source Class</t>
        </is>
      </c>
      <c r="G3" s="15" t="inlineStr">
        <is>
          <t>Why It Matters</t>
        </is>
      </c>
      <c r="H3" s="15" t="inlineStr">
        <is>
          <t>Notes</t>
        </is>
      </c>
    </row>
    <row r="4">
      <c r="A4" s="20" t="inlineStr">
        <is>
          <t>Calendar raw</t>
        </is>
      </c>
      <c r="B4" s="20" t="inlineStr">
        <is>
          <t>RP01</t>
        </is>
      </c>
      <c r="C4" s="21" t="inlineStr">
        <is>
          <t>Snapshot timestamp ET</t>
        </is>
      </c>
      <c r="D4" s="21" t="inlineStr">
        <is>
          <t>datetime</t>
        </is>
      </c>
      <c r="E4" s="21" t="inlineStr">
        <is>
          <t>Exact observation time for the 30-second loop</t>
        </is>
      </c>
      <c r="F4" s="21" t="inlineStr">
        <is>
          <t>market clock / feed timestamp</t>
        </is>
      </c>
      <c r="G4" s="21" t="inlineStr">
        <is>
          <t>Required for session/day/week/month/expiry logic without downstream leakage</t>
        </is>
      </c>
      <c r="H4" s="21" t="inlineStr">
        <is>
          <t>30-second cadence target during RTH</t>
        </is>
      </c>
    </row>
    <row r="5">
      <c r="A5" s="20" t="inlineStr">
        <is>
          <t>Calendar raw</t>
        </is>
      </c>
      <c r="B5" s="20" t="inlineStr">
        <is>
          <t>RP02</t>
        </is>
      </c>
      <c r="C5" s="21" t="inlineStr">
        <is>
          <t>Session date ET</t>
        </is>
      </c>
      <c r="D5" s="21" t="inlineStr">
        <is>
          <t>date</t>
        </is>
      </c>
      <c r="E5" s="21" t="inlineStr">
        <is>
          <t>Trading session anchor date</t>
        </is>
      </c>
      <c r="F5" s="21" t="inlineStr">
        <is>
          <t>derived from timestamp only</t>
        </is>
      </c>
      <c r="G5" s="21" t="inlineStr">
        <is>
          <t>Replay partition and session grouping</t>
        </is>
      </c>
      <c r="H5" s="21" t="inlineStr">
        <is>
          <t>Calendar anchor only</t>
        </is>
      </c>
    </row>
    <row r="6">
      <c r="A6" s="20" t="inlineStr">
        <is>
          <t>Calendar raw</t>
        </is>
      </c>
      <c r="B6" s="20" t="inlineStr">
        <is>
          <t>RP03</t>
        </is>
      </c>
      <c r="C6" s="21" t="inlineStr">
        <is>
          <t>Weekday</t>
        </is>
      </c>
      <c r="D6" s="21" t="inlineStr">
        <is>
          <t>text</t>
        </is>
      </c>
      <c r="E6" s="21" t="inlineStr">
        <is>
          <t>Day-of-week context</t>
        </is>
      </c>
      <c r="F6" s="21" t="inlineStr">
        <is>
          <t>derived from timestamp only</t>
        </is>
      </c>
      <c r="G6" s="21" t="inlineStr">
        <is>
          <t>Needed for Friday / expiry-week logic</t>
        </is>
      </c>
      <c r="H6" s="21" t="inlineStr">
        <is>
          <t>Calendar anchor only</t>
        </is>
      </c>
    </row>
    <row r="7">
      <c r="A7" s="20" t="inlineStr">
        <is>
          <t>Calendar raw</t>
        </is>
      </c>
      <c r="B7" s="20" t="inlineStr">
        <is>
          <t>RP04</t>
        </is>
      </c>
      <c r="C7" s="21" t="inlineStr">
        <is>
          <t>Month</t>
        </is>
      </c>
      <c r="D7" s="21" t="inlineStr">
        <is>
          <t>integer</t>
        </is>
      </c>
      <c r="E7" s="21" t="inlineStr">
        <is>
          <t>Month context</t>
        </is>
      </c>
      <c r="F7" s="21" t="inlineStr">
        <is>
          <t>derived from timestamp only</t>
        </is>
      </c>
      <c r="G7" s="21" t="inlineStr">
        <is>
          <t>Supports monthly / quarter-end framing</t>
        </is>
      </c>
      <c r="H7" s="21" t="inlineStr">
        <is>
          <t>Calendar anchor only</t>
        </is>
      </c>
    </row>
    <row r="8">
      <c r="A8" s="20" t="inlineStr">
        <is>
          <t>Calendar raw</t>
        </is>
      </c>
      <c r="B8" s="20" t="inlineStr">
        <is>
          <t>RP05</t>
        </is>
      </c>
      <c r="C8" s="21" t="inlineStr">
        <is>
          <t>Next expiry timestamp</t>
        </is>
      </c>
      <c r="D8" s="21" t="inlineStr">
        <is>
          <t>datetime</t>
        </is>
      </c>
      <c r="E8" s="21" t="inlineStr">
        <is>
          <t>Nearest listed expiry anchor</t>
        </is>
      </c>
      <c r="F8" s="21" t="inlineStr">
        <is>
          <t>calendar / options calendar</t>
        </is>
      </c>
      <c r="G8" s="21" t="inlineStr">
        <is>
          <t>Needed for expiry-cycle state</t>
        </is>
      </c>
      <c r="H8" s="21" t="inlineStr">
        <is>
          <t>Calendar only; not options verdict</t>
        </is>
      </c>
    </row>
    <row r="9">
      <c r="A9" s="20" t="inlineStr">
        <is>
          <t>Calendar raw</t>
        </is>
      </c>
      <c r="B9" s="20" t="inlineStr">
        <is>
          <t>RP06</t>
        </is>
      </c>
      <c r="C9" s="21" t="inlineStr">
        <is>
          <t>Next event timestamp</t>
        </is>
      </c>
      <c r="D9" s="21" t="inlineStr">
        <is>
          <t>datetime</t>
        </is>
      </c>
      <c r="E9" s="21" t="inlineStr">
        <is>
          <t>Nearest catalyst anchor</t>
        </is>
      </c>
      <c r="F9" s="21" t="inlineStr">
        <is>
          <t>calendar / event schedule</t>
        </is>
      </c>
      <c r="G9" s="21" t="inlineStr">
        <is>
          <t>Needed for event-window state</t>
        </is>
      </c>
      <c r="H9" s="21" t="inlineStr">
        <is>
          <t>Calendar only</t>
        </is>
      </c>
    </row>
    <row r="10">
      <c r="A10" s="20" t="inlineStr">
        <is>
          <t>Underlying bars raw</t>
        </is>
      </c>
      <c r="B10" s="20" t="inlineStr">
        <is>
          <t>RP07</t>
        </is>
      </c>
      <c r="C10" s="21" t="inlineStr">
        <is>
          <t>NVDA open</t>
        </is>
      </c>
      <c r="D10" s="21" t="inlineStr">
        <is>
          <t>price</t>
        </is>
      </c>
      <c r="E10" s="21" t="inlineStr">
        <is>
          <t>Official bar open</t>
        </is>
      </c>
      <c r="F10" s="21" t="inlineStr">
        <is>
          <t>single-name market data</t>
        </is>
      </c>
      <c r="G10" s="21" t="inlineStr">
        <is>
          <t>Primitive price path state</t>
        </is>
      </c>
      <c r="H10" s="21" t="inlineStr">
        <is>
          <t>RTH bars preferred</t>
        </is>
      </c>
    </row>
    <row r="11">
      <c r="A11" s="20" t="inlineStr">
        <is>
          <t>Underlying bars raw</t>
        </is>
      </c>
      <c r="B11" s="20" t="inlineStr">
        <is>
          <t>RP08</t>
        </is>
      </c>
      <c r="C11" s="21" t="inlineStr">
        <is>
          <t>NVDA high</t>
        </is>
      </c>
      <c r="D11" s="21" t="inlineStr">
        <is>
          <t>price</t>
        </is>
      </c>
      <c r="E11" s="21" t="inlineStr">
        <is>
          <t>Official bar high</t>
        </is>
      </c>
      <c r="F11" s="21" t="inlineStr">
        <is>
          <t>single-name market data</t>
        </is>
      </c>
      <c r="G11" s="21" t="inlineStr">
        <is>
          <t>Primitive realised excursion</t>
        </is>
      </c>
      <c r="H11" s="21" t="inlineStr">
        <is>
          <t>RTH bars preferred</t>
        </is>
      </c>
    </row>
    <row r="12">
      <c r="A12" s="20" t="inlineStr">
        <is>
          <t>Underlying bars raw</t>
        </is>
      </c>
      <c r="B12" s="20" t="inlineStr">
        <is>
          <t>RP09</t>
        </is>
      </c>
      <c r="C12" s="21" t="inlineStr">
        <is>
          <t>NVDA low</t>
        </is>
      </c>
      <c r="D12" s="21" t="inlineStr">
        <is>
          <t>price</t>
        </is>
      </c>
      <c r="E12" s="21" t="inlineStr">
        <is>
          <t>Official bar low</t>
        </is>
      </c>
      <c r="F12" s="21" t="inlineStr">
        <is>
          <t>single-name market data</t>
        </is>
      </c>
      <c r="G12" s="21" t="inlineStr">
        <is>
          <t>Primitive realised excursion</t>
        </is>
      </c>
      <c r="H12" s="21" t="inlineStr">
        <is>
          <t>RTH bars preferred</t>
        </is>
      </c>
    </row>
    <row r="13">
      <c r="A13" s="20" t="inlineStr">
        <is>
          <t>Underlying bars raw</t>
        </is>
      </c>
      <c r="B13" s="20" t="inlineStr">
        <is>
          <t>RP10</t>
        </is>
      </c>
      <c r="C13" s="21" t="inlineStr">
        <is>
          <t>NVDA last / close</t>
        </is>
      </c>
      <c r="D13" s="21" t="inlineStr">
        <is>
          <t>price</t>
        </is>
      </c>
      <c r="E13" s="21" t="inlineStr">
        <is>
          <t>Official bar close or last mark</t>
        </is>
      </c>
      <c r="F13" s="21" t="inlineStr">
        <is>
          <t>single-name market data</t>
        </is>
      </c>
      <c r="G13" s="21" t="inlineStr">
        <is>
          <t>Primitive spot anchor</t>
        </is>
      </c>
      <c r="H13" s="21" t="inlineStr">
        <is>
          <t>Use latest close for the loop</t>
        </is>
      </c>
    </row>
    <row r="14">
      <c r="A14" s="20" t="inlineStr">
        <is>
          <t>Underlying bars raw</t>
        </is>
      </c>
      <c r="B14" s="20" t="inlineStr">
        <is>
          <t>RP11</t>
        </is>
      </c>
      <c r="C14" s="21" t="inlineStr">
        <is>
          <t>Interval volume shares</t>
        </is>
      </c>
      <c r="D14" s="21" t="inlineStr">
        <is>
          <t>shares / 30s</t>
        </is>
      </c>
      <c r="E14" s="21" t="inlineStr">
        <is>
          <t>Executed volume in current bucket</t>
        </is>
      </c>
      <c r="F14" s="21" t="inlineStr">
        <is>
          <t>single-name market data</t>
        </is>
      </c>
      <c r="G14" s="21" t="inlineStr">
        <is>
          <t>Participation input</t>
        </is>
      </c>
      <c r="H14" s="21" t="inlineStr">
        <is>
          <t>Do not pre-normalise</t>
        </is>
      </c>
    </row>
    <row r="15">
      <c r="A15" s="20" t="inlineStr">
        <is>
          <t>Underlying bars raw</t>
        </is>
      </c>
      <c r="B15" s="20" t="inlineStr">
        <is>
          <t>RP12</t>
        </is>
      </c>
      <c r="C15" s="21" t="inlineStr">
        <is>
          <t>Cumulative session volume</t>
        </is>
      </c>
      <c r="D15" s="21" t="inlineStr">
        <is>
          <t>shares</t>
        </is>
      </c>
      <c r="E15" s="21" t="inlineStr">
        <is>
          <t>Session-to-date executed volume</t>
        </is>
      </c>
      <c r="F15" s="21" t="inlineStr">
        <is>
          <t>single-name market data</t>
        </is>
      </c>
      <c r="G15" s="21" t="inlineStr">
        <is>
          <t>Supports accumulators and baselines</t>
        </is>
      </c>
      <c r="H15" s="21" t="inlineStr">
        <is>
          <t>Raw cumulative form allowed</t>
        </is>
      </c>
    </row>
    <row r="16">
      <c r="A16" s="20" t="inlineStr">
        <is>
          <t>Underlying bars raw</t>
        </is>
      </c>
      <c r="B16" s="20" t="inlineStr">
        <is>
          <t>RP13</t>
        </is>
      </c>
      <c r="C16" s="21" t="inlineStr">
        <is>
          <t>Trade count</t>
        </is>
      </c>
      <c r="D16" s="21" t="inlineStr">
        <is>
          <t>count / 30s</t>
        </is>
      </c>
      <c r="E16" s="21" t="inlineStr">
        <is>
          <t>Number of prints in the current bucket</t>
        </is>
      </c>
      <c r="F16" s="21" t="inlineStr">
        <is>
          <t>trade tape</t>
        </is>
      </c>
      <c r="G16" s="21" t="inlineStr">
        <is>
          <t>Participation-quality input</t>
        </is>
      </c>
      <c r="H16" s="21" t="inlineStr">
        <is>
          <t>Raw if vendor supplies it</t>
        </is>
      </c>
    </row>
    <row r="17">
      <c r="A17" s="20" t="inlineStr">
        <is>
          <t>Underlying quote raw</t>
        </is>
      </c>
      <c r="B17" s="20" t="inlineStr">
        <is>
          <t>RP14</t>
        </is>
      </c>
      <c r="C17" s="21" t="inlineStr">
        <is>
          <t>Best bid</t>
        </is>
      </c>
      <c r="D17" s="21" t="inlineStr">
        <is>
          <t>price</t>
        </is>
      </c>
      <c r="E17" s="21" t="inlineStr">
        <is>
          <t>Underlying bid</t>
        </is>
      </c>
      <c r="F17" s="21" t="inlineStr">
        <is>
          <t>quote feed</t>
        </is>
      </c>
      <c r="G17" s="21" t="inlineStr">
        <is>
          <t>Execution/liquidity primitive</t>
        </is>
      </c>
      <c r="H17" s="21" t="inlineStr">
        <is>
          <t>Use NBBO or broker best bid</t>
        </is>
      </c>
    </row>
    <row r="18">
      <c r="A18" s="20" t="inlineStr">
        <is>
          <t>Underlying quote raw</t>
        </is>
      </c>
      <c r="B18" s="20" t="inlineStr">
        <is>
          <t>RP15</t>
        </is>
      </c>
      <c r="C18" s="21" t="inlineStr">
        <is>
          <t>Best ask</t>
        </is>
      </c>
      <c r="D18" s="21" t="inlineStr">
        <is>
          <t>price</t>
        </is>
      </c>
      <c r="E18" s="21" t="inlineStr">
        <is>
          <t>Underlying ask</t>
        </is>
      </c>
      <c r="F18" s="21" t="inlineStr">
        <is>
          <t>quote feed</t>
        </is>
      </c>
      <c r="G18" s="21" t="inlineStr">
        <is>
          <t>Execution/liquidity primitive</t>
        </is>
      </c>
      <c r="H18" s="21" t="inlineStr">
        <is>
          <t>Use NBBO or broker best ask</t>
        </is>
      </c>
    </row>
    <row r="19">
      <c r="A19" s="20" t="inlineStr">
        <is>
          <t>Underlying quote raw</t>
        </is>
      </c>
      <c r="B19" s="20" t="inlineStr">
        <is>
          <t>RP16</t>
        </is>
      </c>
      <c r="C19" s="21" t="inlineStr">
        <is>
          <t>Bid size</t>
        </is>
      </c>
      <c r="D19" s="21" t="inlineStr">
        <is>
          <t>shares</t>
        </is>
      </c>
      <c r="E19" s="21" t="inlineStr">
        <is>
          <t>Displayed bid size</t>
        </is>
      </c>
      <c r="F19" s="21" t="inlineStr">
        <is>
          <t>quote feed</t>
        </is>
      </c>
      <c r="G19" s="21" t="inlineStr">
        <is>
          <t>Microstructure/liquidity depth proxy</t>
        </is>
      </c>
      <c r="H19" s="21" t="inlineStr">
        <is>
          <t>Optional when available</t>
        </is>
      </c>
    </row>
    <row r="20">
      <c r="A20" s="20" t="inlineStr">
        <is>
          <t>Underlying quote raw</t>
        </is>
      </c>
      <c r="B20" s="20" t="inlineStr">
        <is>
          <t>RP17</t>
        </is>
      </c>
      <c r="C20" s="21" t="inlineStr">
        <is>
          <t>Ask size</t>
        </is>
      </c>
      <c r="D20" s="21" t="inlineStr">
        <is>
          <t>shares</t>
        </is>
      </c>
      <c r="E20" s="21" t="inlineStr">
        <is>
          <t>Displayed ask size</t>
        </is>
      </c>
      <c r="F20" s="21" t="inlineStr">
        <is>
          <t>quote feed</t>
        </is>
      </c>
      <c r="G20" s="21" t="inlineStr">
        <is>
          <t>Microstructure/liquidity depth proxy</t>
        </is>
      </c>
      <c r="H20" s="21" t="inlineStr">
        <is>
          <t>Optional when available</t>
        </is>
      </c>
    </row>
    <row r="21">
      <c r="A21" s="20" t="inlineStr">
        <is>
          <t>Cross-asset raw</t>
        </is>
      </c>
      <c r="B21" s="20" t="inlineStr">
        <is>
          <t>RP18</t>
        </is>
      </c>
      <c r="C21" s="21" t="inlineStr">
        <is>
          <t>ES futures</t>
        </is>
      </c>
      <c r="D21" s="21" t="inlineStr">
        <is>
          <t>index level</t>
        </is>
      </c>
      <c r="E21" s="21" t="inlineStr">
        <is>
          <t>Broad US beta tape</t>
        </is>
      </c>
      <c r="F21" s="21" t="inlineStr">
        <is>
          <t>futures / vendor feed</t>
        </is>
      </c>
      <c r="G21" s="21" t="inlineStr">
        <is>
          <t>Broad beta state</t>
        </is>
      </c>
      <c r="H21" s="21" t="inlineStr">
        <is>
          <t>Overnight and RTH</t>
        </is>
      </c>
    </row>
    <row r="22">
      <c r="A22" s="20" t="inlineStr">
        <is>
          <t>Cross-asset raw</t>
        </is>
      </c>
      <c r="B22" s="20" t="inlineStr">
        <is>
          <t>RP19</t>
        </is>
      </c>
      <c r="C22" s="21" t="inlineStr">
        <is>
          <t>NQ futures</t>
        </is>
      </c>
      <c r="D22" s="21" t="inlineStr">
        <is>
          <t>index level</t>
        </is>
      </c>
      <c r="E22" s="21" t="inlineStr">
        <is>
          <t>US tech beta tape</t>
        </is>
      </c>
      <c r="F22" s="21" t="inlineStr">
        <is>
          <t>futures / vendor feed</t>
        </is>
      </c>
      <c r="G22" s="21" t="inlineStr">
        <is>
          <t>Tech beta state</t>
        </is>
      </c>
      <c r="H22" s="21" t="inlineStr">
        <is>
          <t>Critical for NVDA residuals</t>
        </is>
      </c>
    </row>
    <row r="23">
      <c r="A23" s="20" t="inlineStr">
        <is>
          <t>Cross-asset raw</t>
        </is>
      </c>
      <c r="B23" s="20" t="inlineStr">
        <is>
          <t>RP20</t>
        </is>
      </c>
      <c r="C23" s="21" t="inlineStr">
        <is>
          <t>SOX index</t>
        </is>
      </c>
      <c r="D23" s="21" t="inlineStr">
        <is>
          <t>index level</t>
        </is>
      </c>
      <c r="E23" s="21" t="inlineStr">
        <is>
          <t>Semiconductor leadership tape</t>
        </is>
      </c>
      <c r="F23" s="21" t="inlineStr">
        <is>
          <t>sector market data</t>
        </is>
      </c>
      <c r="G23" s="21" t="inlineStr">
        <is>
          <t>Confirms semis leadership or failure</t>
        </is>
      </c>
      <c r="H23" s="21" t="inlineStr">
        <is>
          <t>Prefer SOX over ETF proxy</t>
        </is>
      </c>
    </row>
    <row r="24">
      <c r="A24" s="20" t="inlineStr">
        <is>
          <t>Cross-asset raw</t>
        </is>
      </c>
      <c r="B24" s="20" t="inlineStr">
        <is>
          <t>RP21</t>
        </is>
      </c>
      <c r="C24" s="21" t="inlineStr">
        <is>
          <t>VIX</t>
        </is>
      </c>
      <c r="D24" s="21" t="inlineStr">
        <is>
          <t>index points</t>
        </is>
      </c>
      <c r="E24" s="21" t="inlineStr">
        <is>
          <t>Headline implied-vol state</t>
        </is>
      </c>
      <c r="F24" s="21" t="inlineStr">
        <is>
          <t>volatility index data</t>
        </is>
      </c>
      <c r="G24" s="21" t="inlineStr">
        <is>
          <t>Broad stress gauge</t>
        </is>
      </c>
      <c r="H24" s="21" t="inlineStr">
        <is>
          <t>Raw index print</t>
        </is>
      </c>
    </row>
    <row r="25">
      <c r="A25" s="20" t="inlineStr">
        <is>
          <t>Cross-asset raw</t>
        </is>
      </c>
      <c r="B25" s="20" t="inlineStr">
        <is>
          <t>RP22</t>
        </is>
      </c>
      <c r="C25" s="21" t="inlineStr">
        <is>
          <t>VVIX</t>
        </is>
      </c>
      <c r="D25" s="21" t="inlineStr">
        <is>
          <t>index points</t>
        </is>
      </c>
      <c r="E25" s="21" t="inlineStr">
        <is>
          <t>Vol-of-vol state</t>
        </is>
      </c>
      <c r="F25" s="21" t="inlineStr">
        <is>
          <t>volatility index data</t>
        </is>
      </c>
      <c r="G25" s="21" t="inlineStr">
        <is>
          <t>Second-order stress gauge</t>
        </is>
      </c>
      <c r="H25" s="21" t="inlineStr">
        <is>
          <t>Raw index print</t>
        </is>
      </c>
    </row>
    <row r="26">
      <c r="A26" s="20" t="inlineStr">
        <is>
          <t>Cross-asset raw</t>
        </is>
      </c>
      <c r="B26" s="20" t="inlineStr">
        <is>
          <t>RP23</t>
        </is>
      </c>
      <c r="C26" s="21" t="inlineStr">
        <is>
          <t>US 10Y yield</t>
        </is>
      </c>
      <c r="D26" s="21" t="inlineStr">
        <is>
          <t>bp</t>
        </is>
      </c>
      <c r="E26" s="21" t="inlineStr">
        <is>
          <t>Rates state</t>
        </is>
      </c>
      <c r="F26" s="21" t="inlineStr">
        <is>
          <t>rates data</t>
        </is>
      </c>
      <c r="G26" s="21" t="inlineStr">
        <is>
          <t>Growth-beta sensitivity</t>
        </is>
      </c>
      <c r="H26" s="21" t="inlineStr">
        <is>
          <t>Raw yield print</t>
        </is>
      </c>
    </row>
    <row r="27">
      <c r="A27" s="20" t="inlineStr">
        <is>
          <t>Cross-asset raw</t>
        </is>
      </c>
      <c r="B27" s="20" t="inlineStr">
        <is>
          <t>RP24</t>
        </is>
      </c>
      <c r="C27" s="21" t="inlineStr">
        <is>
          <t>US 2Y yield</t>
        </is>
      </c>
      <c r="D27" s="21" t="inlineStr">
        <is>
          <t>bp</t>
        </is>
      </c>
      <c r="E27" s="21" t="inlineStr">
        <is>
          <t>Front-end policy state</t>
        </is>
      </c>
      <c r="F27" s="21" t="inlineStr">
        <is>
          <t>rates data</t>
        </is>
      </c>
      <c r="G27" s="21" t="inlineStr">
        <is>
          <t>Rates sensitivity</t>
        </is>
      </c>
      <c r="H27" s="21" t="inlineStr">
        <is>
          <t>Raw yield print</t>
        </is>
      </c>
    </row>
    <row r="28">
      <c r="A28" s="20" t="inlineStr">
        <is>
          <t>Cross-asset raw</t>
        </is>
      </c>
      <c r="B28" s="20" t="inlineStr">
        <is>
          <t>RP25</t>
        </is>
      </c>
      <c r="C28" s="21" t="inlineStr">
        <is>
          <t>USDJPY</t>
        </is>
      </c>
      <c r="D28" s="21" t="inlineStr">
        <is>
          <t>FX rate</t>
        </is>
      </c>
      <c r="E28" s="21" t="inlineStr">
        <is>
          <t>Carry/risk sentiment proxy</t>
        </is>
      </c>
      <c r="F28" s="21" t="inlineStr">
        <is>
          <t>FX market data</t>
        </is>
      </c>
      <c r="G28" s="21" t="inlineStr">
        <is>
          <t>Cross-asset confirmation</t>
        </is>
      </c>
      <c r="H28" s="21" t="inlineStr">
        <is>
          <t>Raw FX print</t>
        </is>
      </c>
    </row>
    <row r="29">
      <c r="A29" s="20" t="inlineStr">
        <is>
          <t>Events raw</t>
        </is>
      </c>
      <c r="B29" s="20" t="inlineStr">
        <is>
          <t>RP26</t>
        </is>
      </c>
      <c r="C29" s="21" t="inlineStr">
        <is>
          <t>Event flag</t>
        </is>
      </c>
      <c r="D29" s="21" t="inlineStr">
        <is>
          <t>0/1</t>
        </is>
      </c>
      <c r="E29" s="21" t="inlineStr">
        <is>
          <t>Presence of an active catalyst window</t>
        </is>
      </c>
      <c r="F29" s="21" t="inlineStr">
        <is>
          <t>calendar / manual flag</t>
        </is>
      </c>
      <c r="G29" s="21" t="inlineStr">
        <is>
          <t>Prevents blind extrapolation</t>
        </is>
      </c>
      <c r="H29" s="21" t="inlineStr">
        <is>
          <t>Can be derived from event timestamps</t>
        </is>
      </c>
    </row>
    <row r="30">
      <c r="A30" s="20" t="inlineStr">
        <is>
          <t>Options chain raw</t>
        </is>
      </c>
      <c r="B30" s="20" t="inlineStr">
        <is>
          <t>RP27</t>
        </is>
      </c>
      <c r="C30" s="21" t="inlineStr">
        <is>
          <t>Underlying last at chain snapshot</t>
        </is>
      </c>
      <c r="D30" s="21" t="inlineStr">
        <is>
          <t>price</t>
        </is>
      </c>
      <c r="E30" s="21" t="inlineStr">
        <is>
          <t>Underlying reference for the chain row</t>
        </is>
      </c>
      <c r="F30" s="21" t="inlineStr">
        <is>
          <t>options vendor / broker app</t>
        </is>
      </c>
      <c r="G30" s="21" t="inlineStr">
        <is>
          <t>Anchors moneyness and spot-relative measures</t>
        </is>
      </c>
      <c r="H30" s="21" t="inlineStr">
        <is>
          <t>Store once per snapshot or denormalise per row</t>
        </is>
      </c>
    </row>
    <row r="31">
      <c r="A31" s="20" t="inlineStr">
        <is>
          <t>Options chain raw</t>
        </is>
      </c>
      <c r="B31" s="20" t="inlineStr">
        <is>
          <t>RP28</t>
        </is>
      </c>
      <c r="C31" s="21" t="inlineStr">
        <is>
          <t>Expiry</t>
        </is>
      </c>
      <c r="D31" s="21" t="inlineStr">
        <is>
          <t>date</t>
        </is>
      </c>
      <c r="E31" s="21" t="inlineStr">
        <is>
          <t>Option expiry</t>
        </is>
      </c>
      <c r="F31" s="21" t="inlineStr">
        <is>
          <t>options vendor / broker app</t>
        </is>
      </c>
      <c r="G31" s="21" t="inlineStr">
        <is>
          <t>First-class raw chain key</t>
        </is>
      </c>
      <c r="H31" s="21" t="inlineStr">
        <is>
          <t>Every row</t>
        </is>
      </c>
    </row>
    <row r="32">
      <c r="A32" s="20" t="inlineStr">
        <is>
          <t>Options chain raw</t>
        </is>
      </c>
      <c r="B32" s="20" t="inlineStr">
        <is>
          <t>RP29</t>
        </is>
      </c>
      <c r="C32" s="21" t="inlineStr">
        <is>
          <t>Days to expiry</t>
        </is>
      </c>
      <c r="D32" s="21" t="inlineStr">
        <is>
          <t>integer</t>
        </is>
      </c>
      <c r="E32" s="21" t="inlineStr">
        <is>
          <t>Option tenor</t>
        </is>
      </c>
      <c r="F32" s="21" t="inlineStr">
        <is>
          <t>options vendor / broker app</t>
        </is>
      </c>
      <c r="G32" s="21" t="inlineStr">
        <is>
          <t>First-class raw chain key</t>
        </is>
      </c>
      <c r="H32" s="21" t="inlineStr">
        <is>
          <t>Every row</t>
        </is>
      </c>
    </row>
    <row r="33">
      <c r="A33" s="20" t="inlineStr">
        <is>
          <t>Options chain raw</t>
        </is>
      </c>
      <c r="B33" s="20" t="inlineStr">
        <is>
          <t>RP30</t>
        </is>
      </c>
      <c r="C33" s="21" t="inlineStr">
        <is>
          <t>Strike</t>
        </is>
      </c>
      <c r="D33" s="21" t="inlineStr">
        <is>
          <t>price</t>
        </is>
      </c>
      <c r="E33" s="21" t="inlineStr">
        <is>
          <t>Option strike</t>
        </is>
      </c>
      <c r="F33" s="21" t="inlineStr">
        <is>
          <t>options vendor / broker app</t>
        </is>
      </c>
      <c r="G33" s="21" t="inlineStr">
        <is>
          <t>First-class raw chain key</t>
        </is>
      </c>
      <c r="H33" s="21" t="inlineStr">
        <is>
          <t>Every row</t>
        </is>
      </c>
    </row>
    <row r="34">
      <c r="A34" s="20" t="inlineStr">
        <is>
          <t>Options chain raw</t>
        </is>
      </c>
      <c r="B34" s="20" t="inlineStr">
        <is>
          <t>RP31</t>
        </is>
      </c>
      <c r="C34" s="21" t="inlineStr">
        <is>
          <t>Side</t>
        </is>
      </c>
      <c r="D34" s="21" t="inlineStr">
        <is>
          <t>call/put</t>
        </is>
      </c>
      <c r="E34" s="21" t="inlineStr">
        <is>
          <t>Option side</t>
        </is>
      </c>
      <c r="F34" s="21" t="inlineStr">
        <is>
          <t>options vendor / broker app</t>
        </is>
      </c>
      <c r="G34" s="21" t="inlineStr">
        <is>
          <t>First-class raw chain key</t>
        </is>
      </c>
      <c r="H34" s="21" t="inlineStr">
        <is>
          <t>Every row</t>
        </is>
      </c>
    </row>
    <row r="35">
      <c r="A35" s="20" t="inlineStr">
        <is>
          <t>Options chain raw</t>
        </is>
      </c>
      <c r="B35" s="20" t="inlineStr">
        <is>
          <t>RP32</t>
        </is>
      </c>
      <c r="C35" s="21" t="inlineStr">
        <is>
          <t>Bid</t>
        </is>
      </c>
      <c r="D35" s="21" t="inlineStr">
        <is>
          <t>premium</t>
        </is>
      </c>
      <c r="E35" s="21" t="inlineStr">
        <is>
          <t>Displayed option bid</t>
        </is>
      </c>
      <c r="F35" s="21" t="inlineStr">
        <is>
          <t>options vendor / broker app</t>
        </is>
      </c>
      <c r="G35" s="21" t="inlineStr">
        <is>
          <t>Raw quote-liquidity field</t>
        </is>
      </c>
      <c r="H35" s="21" t="inlineStr">
        <is>
          <t>Every row</t>
        </is>
      </c>
    </row>
    <row r="36">
      <c r="A36" s="20" t="inlineStr">
        <is>
          <t>Options chain raw</t>
        </is>
      </c>
      <c r="B36" s="20" t="inlineStr">
        <is>
          <t>RP33</t>
        </is>
      </c>
      <c r="C36" s="21" t="inlineStr">
        <is>
          <t>Ask</t>
        </is>
      </c>
      <c r="D36" s="21" t="inlineStr">
        <is>
          <t>premium</t>
        </is>
      </c>
      <c r="E36" s="21" t="inlineStr">
        <is>
          <t>Displayed option ask</t>
        </is>
      </c>
      <c r="F36" s="21" t="inlineStr">
        <is>
          <t>options vendor / broker app</t>
        </is>
      </c>
      <c r="G36" s="21" t="inlineStr">
        <is>
          <t>Raw quote-liquidity field</t>
        </is>
      </c>
      <c r="H36" s="21" t="inlineStr">
        <is>
          <t>Every row</t>
        </is>
      </c>
    </row>
    <row r="37">
      <c r="A37" s="20" t="inlineStr">
        <is>
          <t>Options chain raw</t>
        </is>
      </c>
      <c r="B37" s="20" t="inlineStr">
        <is>
          <t>RP34</t>
        </is>
      </c>
      <c r="C37" s="21" t="inlineStr">
        <is>
          <t>Last</t>
        </is>
      </c>
      <c r="D37" s="21" t="inlineStr">
        <is>
          <t>premium</t>
        </is>
      </c>
      <c r="E37" s="21" t="inlineStr">
        <is>
          <t>Last traded premium</t>
        </is>
      </c>
      <c r="F37" s="21" t="inlineStr">
        <is>
          <t>options vendor / broker app</t>
        </is>
      </c>
      <c r="G37" s="21" t="inlineStr">
        <is>
          <t>Raw print field</t>
        </is>
      </c>
      <c r="H37" s="21" t="inlineStr">
        <is>
          <t>Every row</t>
        </is>
      </c>
    </row>
    <row r="38">
      <c r="A38" s="20" t="inlineStr">
        <is>
          <t>Options chain raw</t>
        </is>
      </c>
      <c r="B38" s="20" t="inlineStr">
        <is>
          <t>RP35</t>
        </is>
      </c>
      <c r="C38" s="21" t="inlineStr">
        <is>
          <t>Implied vol</t>
        </is>
      </c>
      <c r="D38" s="21" t="inlineStr">
        <is>
          <t>percent</t>
        </is>
      </c>
      <c r="E38" s="21" t="inlineStr">
        <is>
          <t>Vendor-supplied IV</t>
        </is>
      </c>
      <c r="F38" s="21" t="inlineStr">
        <is>
          <t>options vendor / broker app</t>
        </is>
      </c>
      <c r="G38" s="21" t="inlineStr">
        <is>
          <t>Raw greeks surface input</t>
        </is>
      </c>
      <c r="H38" s="21" t="inlineStr">
        <is>
          <t>Raw only if vendor supplies it</t>
        </is>
      </c>
    </row>
    <row r="39">
      <c r="A39" s="20" t="inlineStr">
        <is>
          <t>Options chain raw</t>
        </is>
      </c>
      <c r="B39" s="20" t="inlineStr">
        <is>
          <t>RP36</t>
        </is>
      </c>
      <c r="C39" s="21" t="inlineStr">
        <is>
          <t>Delta</t>
        </is>
      </c>
      <c r="D39" s="21" t="inlineStr">
        <is>
          <t>decimal</t>
        </is>
      </c>
      <c r="E39" s="21" t="inlineStr">
        <is>
          <t>Vendor-supplied delta</t>
        </is>
      </c>
      <c r="F39" s="21" t="inlineStr">
        <is>
          <t>options vendor / broker app</t>
        </is>
      </c>
      <c r="G39" s="21" t="inlineStr">
        <is>
          <t>Raw chain Greek input</t>
        </is>
      </c>
      <c r="H39" s="21" t="inlineStr">
        <is>
          <t>Raw only if vendor supplies it</t>
        </is>
      </c>
    </row>
    <row r="40">
      <c r="A40" s="20" t="inlineStr">
        <is>
          <t>Options chain raw</t>
        </is>
      </c>
      <c r="B40" s="20" t="inlineStr">
        <is>
          <t>RP37</t>
        </is>
      </c>
      <c r="C40" s="21" t="inlineStr">
        <is>
          <t>Gamma</t>
        </is>
      </c>
      <c r="D40" s="21" t="inlineStr">
        <is>
          <t>decimal</t>
        </is>
      </c>
      <c r="E40" s="21" t="inlineStr">
        <is>
          <t>Vendor-supplied gamma</t>
        </is>
      </c>
      <c r="F40" s="21" t="inlineStr">
        <is>
          <t>options vendor / broker app</t>
        </is>
      </c>
      <c r="G40" s="21" t="inlineStr">
        <is>
          <t>Raw chain Greek input</t>
        </is>
      </c>
      <c r="H40" s="21" t="inlineStr">
        <is>
          <t>Raw only if vendor supplies it</t>
        </is>
      </c>
    </row>
    <row r="41">
      <c r="A41" s="20" t="inlineStr">
        <is>
          <t>Options chain raw</t>
        </is>
      </c>
      <c r="B41" s="20" t="inlineStr">
        <is>
          <t>RP38</t>
        </is>
      </c>
      <c r="C41" s="21" t="inlineStr">
        <is>
          <t>Open interest</t>
        </is>
      </c>
      <c r="D41" s="21" t="inlineStr">
        <is>
          <t>contracts</t>
        </is>
      </c>
      <c r="E41" s="21" t="inlineStr">
        <is>
          <t>Vendor-supplied OI</t>
        </is>
      </c>
      <c r="F41" s="21" t="inlineStr">
        <is>
          <t>options vendor / broker app</t>
        </is>
      </c>
      <c r="G41" s="21" t="inlineStr">
        <is>
          <t>Crowding and pinning primitive</t>
        </is>
      </c>
      <c r="H41" s="21" t="inlineStr">
        <is>
          <t>Raw only if vendor supplies it</t>
        </is>
      </c>
    </row>
    <row r="42">
      <c r="A42" s="20" t="inlineStr">
        <is>
          <t>Options chain raw</t>
        </is>
      </c>
      <c r="B42" s="20" t="inlineStr">
        <is>
          <t>RP39</t>
        </is>
      </c>
      <c r="C42" s="21" t="inlineStr">
        <is>
          <t>Volume</t>
        </is>
      </c>
      <c r="D42" s="21" t="inlineStr">
        <is>
          <t>contracts</t>
        </is>
      </c>
      <c r="E42" s="21" t="inlineStr">
        <is>
          <t>Vendor-supplied contract volume</t>
        </is>
      </c>
      <c r="F42" s="21" t="inlineStr">
        <is>
          <t>options vendor / broker app</t>
        </is>
      </c>
      <c r="G42" s="21" t="inlineStr">
        <is>
          <t>Participation primitive</t>
        </is>
      </c>
      <c r="H42" s="21" t="inlineStr">
        <is>
          <t>Raw only if vendor supplies it</t>
        </is>
      </c>
    </row>
    <row r="43">
      <c r="A43" s="20" t="inlineStr">
        <is>
          <t>Options chain raw</t>
        </is>
      </c>
      <c r="B43" s="20" t="inlineStr">
        <is>
          <t>RP40</t>
        </is>
      </c>
      <c r="C43" s="21" t="inlineStr">
        <is>
          <t>Broker row metric A</t>
        </is>
      </c>
      <c r="D43" s="21" t="inlineStr">
        <is>
          <t>vendor-specific</t>
        </is>
      </c>
      <c r="E43" s="21" t="inlineStr">
        <is>
          <t>Unlabelled row metric from broker surface</t>
        </is>
      </c>
      <c r="F43" s="21" t="inlineStr">
        <is>
          <t>options vendor / broker app</t>
        </is>
      </c>
      <c r="G43" s="21" t="inlineStr">
        <is>
          <t>Preserve raw until label is confirmed</t>
        </is>
      </c>
      <c r="H43" s="21" t="inlineStr">
        <is>
          <t>Do not infer its meaning prematurely</t>
        </is>
      </c>
    </row>
    <row r="44">
      <c r="A44" s="20" t="inlineStr">
        <is>
          <t>Options chain raw</t>
        </is>
      </c>
      <c r="B44" s="20" t="inlineStr">
        <is>
          <t>RP41</t>
        </is>
      </c>
      <c r="C44" s="21" t="inlineStr">
        <is>
          <t>Broker row metric B</t>
        </is>
      </c>
      <c r="D44" s="21" t="inlineStr">
        <is>
          <t>vendor-specific</t>
        </is>
      </c>
      <c r="E44" s="21" t="inlineStr">
        <is>
          <t>Unlabelled row metric from broker surface</t>
        </is>
      </c>
      <c r="F44" s="21" t="inlineStr">
        <is>
          <t>options vendor / broker app</t>
        </is>
      </c>
      <c r="G44" s="21" t="inlineStr">
        <is>
          <t>Preserve raw until label is confirmed</t>
        </is>
      </c>
      <c r="H44" s="21" t="inlineStr">
        <is>
          <t>Do not infer its meaning prematurely</t>
        </is>
      </c>
    </row>
    <row r="45">
      <c r="A45" s="20" t="inlineStr">
        <is>
          <t>Volume baseline raw</t>
        </is>
      </c>
      <c r="B45" s="20" t="inlineStr">
        <is>
          <t>RP42</t>
        </is>
      </c>
      <c r="C45" s="21" t="inlineStr">
        <is>
          <t>Same-bucket historical median volume</t>
        </is>
      </c>
      <c r="D45" s="21" t="inlineStr">
        <is>
          <t>shares / bucket</t>
        </is>
      </c>
      <c r="E45" s="21" t="inlineStr">
        <is>
          <t>True intraday participation baseline</t>
        </is>
      </c>
      <c r="F45" s="21" t="inlineStr">
        <is>
          <t>historical bar store</t>
        </is>
      </c>
      <c r="G45" s="21" t="inlineStr">
        <is>
          <t>Needed for true time-of-day relative volume</t>
        </is>
      </c>
      <c r="H45" s="21" t="inlineStr">
        <is>
          <t>Computed offline, stored as raw baseline input to runtime</t>
        </is>
      </c>
    </row>
    <row r="46">
      <c r="A46" s="20" t="inlineStr">
        <is>
          <t>Volume baseline raw</t>
        </is>
      </c>
      <c r="B46" s="20" t="inlineStr">
        <is>
          <t>RP43</t>
        </is>
      </c>
      <c r="C46" s="21" t="inlineStr">
        <is>
          <t>Same-bucket historical mean volume</t>
        </is>
      </c>
      <c r="D46" s="21" t="inlineStr">
        <is>
          <t>shares / bucket</t>
        </is>
      </c>
      <c r="E46" s="21" t="inlineStr">
        <is>
          <t>Alternative participation baseline</t>
        </is>
      </c>
      <c r="F46" s="21" t="inlineStr">
        <is>
          <t>historical bar store</t>
        </is>
      </c>
      <c r="G46" s="21" t="inlineStr">
        <is>
          <t>Useful for averages and sanity checks</t>
        </is>
      </c>
      <c r="H46" s="21" t="inlineStr">
        <is>
          <t>Computed offline</t>
        </is>
      </c>
    </row>
    <row r="47">
      <c r="A47" s="20" t="inlineStr">
        <is>
          <t>Volume baseline raw</t>
        </is>
      </c>
      <c r="B47" s="20" t="inlineStr">
        <is>
          <t>RP44</t>
        </is>
      </c>
      <c r="C47" s="21" t="inlineStr">
        <is>
          <t>Same-bucket historical median trade count</t>
        </is>
      </c>
      <c r="D47" s="21" t="inlineStr">
        <is>
          <t>count / bucket</t>
        </is>
      </c>
      <c r="E47" s="21" t="inlineStr">
        <is>
          <t>Activity quality baseline</t>
        </is>
      </c>
      <c r="F47" s="21" t="inlineStr">
        <is>
          <t>historical trade-count store</t>
        </is>
      </c>
      <c r="G47" s="21" t="inlineStr">
        <is>
          <t>Needed for disorder/compression quality checks</t>
        </is>
      </c>
      <c r="H47" s="21" t="inlineStr">
        <is>
          <t>Computed offline</t>
        </is>
      </c>
    </row>
    <row r="48">
      <c r="A48" s="20" t="inlineStr">
        <is>
          <t>Volume baseline raw</t>
        </is>
      </c>
      <c r="B48" s="20" t="inlineStr">
        <is>
          <t>RP45</t>
        </is>
      </c>
      <c r="C48" s="21" t="inlineStr">
        <is>
          <t>Same-bucket historical median spread</t>
        </is>
      </c>
      <c r="D48" s="21" t="inlineStr">
        <is>
          <t>bps</t>
        </is>
      </c>
      <c r="E48" s="21" t="inlineStr">
        <is>
          <t>Liquidity-cost baseline</t>
        </is>
      </c>
      <c r="F48" s="21" t="inlineStr">
        <is>
          <t>historical quote store</t>
        </is>
      </c>
      <c r="G48" s="21" t="inlineStr">
        <is>
          <t>Needed for spread stress context</t>
        </is>
      </c>
      <c r="H48" s="21" t="inlineStr">
        <is>
          <t>Computed offline</t>
        </is>
      </c>
    </row>
    <row r="49">
      <c r="A49" s="20" t="inlineStr">
        <is>
          <t>Volume baseline raw</t>
        </is>
      </c>
      <c r="B49" s="20" t="inlineStr">
        <is>
          <t>RP46</t>
        </is>
      </c>
      <c r="C49" s="21" t="inlineStr">
        <is>
          <t>Same-bucket historical volume stdev</t>
        </is>
      </c>
      <c r="D49" s="21" t="inlineStr">
        <is>
          <t>shares / bucket</t>
        </is>
      </c>
      <c r="E49" s="21" t="inlineStr">
        <is>
          <t>Historical dispersion baseline</t>
        </is>
      </c>
      <c r="F49" s="21" t="inlineStr">
        <is>
          <t>historical bar store</t>
        </is>
      </c>
      <c r="G49" s="21" t="inlineStr">
        <is>
          <t>Supports z-score style anomaly checks</t>
        </is>
      </c>
      <c r="H49" s="21" t="inlineStr">
        <is>
          <t>Computed offline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4" customWidth="1" min="4" max="4"/>
    <col width="20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Derived Features Catalog</t>
        </is>
      </c>
    </row>
    <row r="2">
      <c r="A2" t="inlineStr">
        <is>
          <t>Computed features only. These must be built from raw primitives, not captured as if they were source truth.</t>
        </is>
      </c>
    </row>
    <row r="3">
      <c r="A3" s="15" t="inlineStr">
        <is>
          <t>Family</t>
        </is>
      </c>
      <c r="B3" s="15" t="inlineStr">
        <is>
          <t>Field_ID</t>
        </is>
      </c>
      <c r="C3" s="15" t="inlineStr">
        <is>
          <t>Field_Name</t>
        </is>
      </c>
      <c r="D3" s="15" t="inlineStr">
        <is>
          <t>Unit</t>
        </is>
      </c>
      <c r="E3" s="15" t="inlineStr">
        <is>
          <t>Purpose</t>
        </is>
      </c>
      <c r="F3" s="15" t="inlineStr">
        <is>
          <t>Typical Source Class</t>
        </is>
      </c>
      <c r="G3" s="15" t="inlineStr">
        <is>
          <t>Why It Matters</t>
        </is>
      </c>
      <c r="H3" s="15" t="inlineStr">
        <is>
          <t>Notes</t>
        </is>
      </c>
    </row>
    <row r="4">
      <c r="A4" s="20" t="inlineStr">
        <is>
          <t>Temporal derived</t>
        </is>
      </c>
      <c r="B4" s="20" t="inlineStr">
        <is>
          <t>DF01</t>
        </is>
      </c>
      <c r="C4" s="21" t="inlineStr">
        <is>
          <t>Session VWAP</t>
        </is>
      </c>
      <c r="D4" s="21" t="inlineStr">
        <is>
          <t>price</t>
        </is>
      </c>
      <c r="E4" s="21" t="inlineStr">
        <is>
          <t>Fair-value anchor during RTH</t>
        </is>
      </c>
      <c r="F4" s="21" t="inlineStr">
        <is>
          <t>derived from price x volume</t>
        </is>
      </c>
      <c r="G4" s="21" t="inlineStr">
        <is>
          <t>Orderly anchor versus trend extension</t>
        </is>
      </c>
      <c r="H4" s="21" t="inlineStr">
        <is>
          <t>Derived only</t>
        </is>
      </c>
    </row>
    <row r="5">
      <c r="A5" s="20" t="inlineStr">
        <is>
          <t>Temporal derived</t>
        </is>
      </c>
      <c r="B5" s="20" t="inlineStr">
        <is>
          <t>DF02</t>
        </is>
      </c>
      <c r="C5" s="21" t="inlineStr">
        <is>
          <t>Distance to VWAP</t>
        </is>
      </c>
      <c r="D5" s="21" t="inlineStr">
        <is>
          <t>bps</t>
        </is>
      </c>
      <c r="E5" s="21" t="inlineStr">
        <is>
          <t>Spot versus VWAP</t>
        </is>
      </c>
      <c r="F5" s="21" t="inlineStr">
        <is>
          <t>derived from last and VWAP</t>
        </is>
      </c>
      <c r="G5" s="21" t="inlineStr">
        <is>
          <t>Orderly anchor versus extension</t>
        </is>
      </c>
      <c r="H5" s="21" t="inlineStr">
        <is>
          <t>Signed value</t>
        </is>
      </c>
    </row>
    <row r="6">
      <c r="A6" s="20" t="inlineStr">
        <is>
          <t>Temporal derived</t>
        </is>
      </c>
      <c r="B6" s="20" t="inlineStr">
        <is>
          <t>DF03</t>
        </is>
      </c>
      <c r="C6" s="21" t="inlineStr">
        <is>
          <t>VWAP slope 5m</t>
        </is>
      </c>
      <c r="D6" s="21" t="inlineStr">
        <is>
          <t>bps / 5m</t>
        </is>
      </c>
      <c r="E6" s="21" t="inlineStr">
        <is>
          <t>Short-window VWAP trend</t>
        </is>
      </c>
      <c r="F6" s="21" t="inlineStr">
        <is>
          <t>derived from rolling VWAP</t>
        </is>
      </c>
      <c r="G6" s="21" t="inlineStr">
        <is>
          <t>Trend persistence versus magnet behaviour</t>
        </is>
      </c>
      <c r="H6" s="21" t="inlineStr">
        <is>
          <t>Derived only</t>
        </is>
      </c>
    </row>
    <row r="7">
      <c r="A7" s="20" t="inlineStr">
        <is>
          <t>Temporal derived</t>
        </is>
      </c>
      <c r="B7" s="20" t="inlineStr">
        <is>
          <t>DF04</t>
        </is>
      </c>
      <c r="C7" s="21" t="inlineStr">
        <is>
          <t>Opening-range high 5m</t>
        </is>
      </c>
      <c r="D7" s="21" t="inlineStr">
        <is>
          <t>price</t>
        </is>
      </c>
      <c r="E7" s="21" t="inlineStr">
        <is>
          <t>High of first 5 minutes</t>
        </is>
      </c>
      <c r="F7" s="21" t="inlineStr">
        <is>
          <t>derived from bar path</t>
        </is>
      </c>
      <c r="G7" s="21" t="inlineStr">
        <is>
          <t>Opening discovery frame</t>
        </is>
      </c>
      <c r="H7" s="21" t="inlineStr">
        <is>
          <t>Derived from raw bars</t>
        </is>
      </c>
    </row>
    <row r="8">
      <c r="A8" s="20" t="inlineStr">
        <is>
          <t>Temporal derived</t>
        </is>
      </c>
      <c r="B8" s="20" t="inlineStr">
        <is>
          <t>DF05</t>
        </is>
      </c>
      <c r="C8" s="21" t="inlineStr">
        <is>
          <t>Opening-range low 5m</t>
        </is>
      </c>
      <c r="D8" s="21" t="inlineStr">
        <is>
          <t>price</t>
        </is>
      </c>
      <c r="E8" s="21" t="inlineStr">
        <is>
          <t>Low of first 5 minutes</t>
        </is>
      </c>
      <c r="F8" s="21" t="inlineStr">
        <is>
          <t>derived from bar path</t>
        </is>
      </c>
      <c r="G8" s="21" t="inlineStr">
        <is>
          <t>Opening discovery frame</t>
        </is>
      </c>
      <c r="H8" s="21" t="inlineStr">
        <is>
          <t>Derived from raw bars</t>
        </is>
      </c>
    </row>
    <row r="9">
      <c r="A9" s="20" t="inlineStr">
        <is>
          <t>Temporal derived</t>
        </is>
      </c>
      <c r="B9" s="20" t="inlineStr">
        <is>
          <t>DF06</t>
        </is>
      </c>
      <c r="C9" s="21" t="inlineStr">
        <is>
          <t>Opening-range break count</t>
        </is>
      </c>
      <c r="D9" s="21" t="inlineStr">
        <is>
          <t>count</t>
        </is>
      </c>
      <c r="E9" s="21" t="inlineStr">
        <is>
          <t>How often price broke and re-broke opening range</t>
        </is>
      </c>
      <c r="F9" s="21" t="inlineStr">
        <is>
          <t>derived from bar path</t>
        </is>
      </c>
      <c r="G9" s="21" t="inlineStr">
        <is>
          <t>Unresolved discovery versus stable anchor</t>
        </is>
      </c>
      <c r="H9" s="21" t="inlineStr">
        <is>
          <t>Derived only</t>
        </is>
      </c>
    </row>
    <row r="10">
      <c r="A10" s="20" t="inlineStr">
        <is>
          <t>Temporal derived</t>
        </is>
      </c>
      <c r="B10" s="20" t="inlineStr">
        <is>
          <t>DF07</t>
        </is>
      </c>
      <c r="C10" s="21" t="inlineStr">
        <is>
          <t>Rolling realised vol 5m</t>
        </is>
      </c>
      <c r="D10" s="21" t="inlineStr">
        <is>
          <t>bps</t>
        </is>
      </c>
      <c r="E10" s="21" t="inlineStr">
        <is>
          <t>Short-window realised volatility</t>
        </is>
      </c>
      <c r="F10" s="21" t="inlineStr">
        <is>
          <t>derived from return path</t>
        </is>
      </c>
      <c r="G10" s="21" t="inlineStr">
        <is>
          <t>Disorder versus compression</t>
        </is>
      </c>
      <c r="H10" s="21" t="inlineStr">
        <is>
          <t>Derived only</t>
        </is>
      </c>
    </row>
    <row r="11">
      <c r="A11" s="20" t="inlineStr">
        <is>
          <t>Temporal derived</t>
        </is>
      </c>
      <c r="B11" s="20" t="inlineStr">
        <is>
          <t>DF08</t>
        </is>
      </c>
      <c r="C11" s="21" t="inlineStr">
        <is>
          <t>Rolling realised vol 15m</t>
        </is>
      </c>
      <c r="D11" s="21" t="inlineStr">
        <is>
          <t>bps</t>
        </is>
      </c>
      <c r="E11" s="21" t="inlineStr">
        <is>
          <t>Longer short-window realised volatility</t>
        </is>
      </c>
      <c r="F11" s="21" t="inlineStr">
        <is>
          <t>derived from return path</t>
        </is>
      </c>
      <c r="G11" s="21" t="inlineStr">
        <is>
          <t>Transient spike versus persistent state</t>
        </is>
      </c>
      <c r="H11" s="21" t="inlineStr">
        <is>
          <t>Derived only</t>
        </is>
      </c>
    </row>
    <row r="12">
      <c r="A12" s="20" t="inlineStr">
        <is>
          <t>Temporal derived</t>
        </is>
      </c>
      <c r="B12" s="20" t="inlineStr">
        <is>
          <t>DF09</t>
        </is>
      </c>
      <c r="C12" s="21" t="inlineStr">
        <is>
          <t>Relative volume ratio</t>
        </is>
      </c>
      <c r="D12" s="21" t="inlineStr">
        <is>
          <t>ratio</t>
        </is>
      </c>
      <c r="E12" s="21" t="inlineStr">
        <is>
          <t>Observed volume versus historical same-bucket baseline</t>
        </is>
      </c>
      <c r="F12" s="21" t="inlineStr">
        <is>
          <t>derived from raw bars + historical baseline</t>
        </is>
      </c>
      <c r="G12" s="21" t="inlineStr">
        <is>
          <t>Avoids hard-coded clock buckets as behaviour</t>
        </is>
      </c>
      <c r="H12" s="21" t="inlineStr">
        <is>
          <t>True version needs historical baseline inputs</t>
        </is>
      </c>
    </row>
    <row r="13">
      <c r="A13" s="20" t="inlineStr">
        <is>
          <t>Temporal derived</t>
        </is>
      </c>
      <c r="B13" s="20" t="inlineStr">
        <is>
          <t>DF10</t>
        </is>
      </c>
      <c r="C13" s="21" t="inlineStr">
        <is>
          <t>Rolling 5m range</t>
        </is>
      </c>
      <c r="D13" s="21" t="inlineStr">
        <is>
          <t>bps</t>
        </is>
      </c>
      <c r="E13" s="21" t="inlineStr">
        <is>
          <t>Recent expansion/compression</t>
        </is>
      </c>
      <c r="F13" s="21" t="inlineStr">
        <is>
          <t>derived from bar path</t>
        </is>
      </c>
      <c r="G13" s="21" t="inlineStr">
        <is>
          <t>Compression and breakout readiness</t>
        </is>
      </c>
      <c r="H13" s="21" t="inlineStr">
        <is>
          <t>Derived only</t>
        </is>
      </c>
    </row>
    <row r="14">
      <c r="A14" s="20" t="inlineStr">
        <is>
          <t>Temporal derived</t>
        </is>
      </c>
      <c r="B14" s="20" t="inlineStr">
        <is>
          <t>DF11</t>
        </is>
      </c>
      <c r="C14" s="21" t="inlineStr">
        <is>
          <t>Impulse age</t>
        </is>
      </c>
      <c r="D14" s="21" t="inlineStr">
        <is>
          <t>minutes or bars</t>
        </is>
      </c>
      <c r="E14" s="21" t="inlineStr">
        <is>
          <t>Age of last meaningful impulse move</t>
        </is>
      </c>
      <c r="F14" s="21" t="inlineStr">
        <is>
          <t>derived from return path</t>
        </is>
      </c>
      <c r="G14" s="21" t="inlineStr">
        <is>
          <t>Anchor versus active trend state</t>
        </is>
      </c>
      <c r="H14" s="21" t="inlineStr">
        <is>
          <t>Derived only</t>
        </is>
      </c>
    </row>
    <row r="15">
      <c r="A15" s="20" t="inlineStr">
        <is>
          <t>Options derived</t>
        </is>
      </c>
      <c r="B15" s="20" t="inlineStr">
        <is>
          <t>DF12</t>
        </is>
      </c>
      <c r="C15" s="21" t="inlineStr">
        <is>
          <t>ATM IV</t>
        </is>
      </c>
      <c r="D15" s="21" t="inlineStr">
        <is>
          <t>percent</t>
        </is>
      </c>
      <c r="E15" s="21" t="inlineStr">
        <is>
          <t>Current at-the-money IV</t>
        </is>
      </c>
      <c r="F15" s="21" t="inlineStr">
        <is>
          <t>derived from raw chain</t>
        </is>
      </c>
      <c r="G15" s="21" t="inlineStr">
        <is>
          <t>Base options richness state</t>
        </is>
      </c>
      <c r="H15" s="21" t="inlineStr">
        <is>
          <t>Derived from call/put rows near spot</t>
        </is>
      </c>
    </row>
    <row r="16">
      <c r="A16" s="20" t="inlineStr">
        <is>
          <t>Options derived</t>
        </is>
      </c>
      <c r="B16" s="20" t="inlineStr">
        <is>
          <t>DF13</t>
        </is>
      </c>
      <c r="C16" s="21" t="inlineStr">
        <is>
          <t>IV / historical vol</t>
        </is>
      </c>
      <c r="D16" s="21" t="inlineStr">
        <is>
          <t>ratio</t>
        </is>
      </c>
      <c r="E16" s="21" t="inlineStr">
        <is>
          <t>Implied versus realised volatility ratio</t>
        </is>
      </c>
      <c r="F16" s="21" t="inlineStr">
        <is>
          <t>derived from ATM IV and realised vol</t>
        </is>
      </c>
      <c r="G16" s="21" t="inlineStr">
        <is>
          <t>Rich/soft vol surface</t>
        </is>
      </c>
      <c r="H16" s="21" t="inlineStr">
        <is>
          <t>Derived only</t>
        </is>
      </c>
    </row>
    <row r="17">
      <c r="A17" s="20" t="inlineStr">
        <is>
          <t>Options derived</t>
        </is>
      </c>
      <c r="B17" s="20" t="inlineStr">
        <is>
          <t>DF14</t>
        </is>
      </c>
      <c r="C17" s="21" t="inlineStr">
        <is>
          <t>IV change</t>
        </is>
      </c>
      <c r="D17" s="21" t="inlineStr">
        <is>
          <t>percentage points</t>
        </is>
      </c>
      <c r="E17" s="21" t="inlineStr">
        <is>
          <t>Change in IV versus prior snapshot or close</t>
        </is>
      </c>
      <c r="F17" s="21" t="inlineStr">
        <is>
          <t>derived from raw chain history</t>
        </is>
      </c>
      <c r="G17" s="21" t="inlineStr">
        <is>
          <t>Detects stress build or release</t>
        </is>
      </c>
      <c r="H17" s="21" t="inlineStr">
        <is>
          <t>Derived only</t>
        </is>
      </c>
    </row>
    <row r="18">
      <c r="A18" s="20" t="inlineStr">
        <is>
          <t>Options derived</t>
        </is>
      </c>
      <c r="B18" s="20" t="inlineStr">
        <is>
          <t>DF15</t>
        </is>
      </c>
      <c r="C18" s="21" t="inlineStr">
        <is>
          <t>Term-structure spread</t>
        </is>
      </c>
      <c r="D18" s="21" t="inlineStr">
        <is>
          <t>percentage points</t>
        </is>
      </c>
      <c r="E18" s="21" t="inlineStr">
        <is>
          <t>Front versus next expiry IV spread</t>
        </is>
      </c>
      <c r="F18" s="21" t="inlineStr">
        <is>
          <t>derived from raw chain</t>
        </is>
      </c>
      <c r="G18" s="21" t="inlineStr">
        <is>
          <t>Event stress versus medium-term stress</t>
        </is>
      </c>
      <c r="H18" s="21" t="inlineStr">
        <is>
          <t>Derived only</t>
        </is>
      </c>
    </row>
    <row r="19">
      <c r="A19" s="20" t="inlineStr">
        <is>
          <t>Options derived</t>
        </is>
      </c>
      <c r="B19" s="20" t="inlineStr">
        <is>
          <t>DF16</t>
        </is>
      </c>
      <c r="C19" s="21" t="inlineStr">
        <is>
          <t>Skew slope</t>
        </is>
      </c>
      <c r="D19" s="21" t="inlineStr">
        <is>
          <t>percentage points</t>
        </is>
      </c>
      <c r="E19" s="21" t="inlineStr">
        <is>
          <t>Put/call or downside/upside skew</t>
        </is>
      </c>
      <c r="F19" s="21" t="inlineStr">
        <is>
          <t>derived from raw chain</t>
        </is>
      </c>
      <c r="G19" s="21" t="inlineStr">
        <is>
          <t>Downside hedging versus upside chase</t>
        </is>
      </c>
      <c r="H19" s="21" t="inlineStr">
        <is>
          <t>Derived only</t>
        </is>
      </c>
    </row>
    <row r="20">
      <c r="A20" s="20" t="inlineStr">
        <is>
          <t>Options derived</t>
        </is>
      </c>
      <c r="B20" s="20" t="inlineStr">
        <is>
          <t>DF17</t>
        </is>
      </c>
      <c r="C20" s="21" t="inlineStr">
        <is>
          <t>Call/put volume ratio</t>
        </is>
      </c>
      <c r="D20" s="21" t="inlineStr">
        <is>
          <t>ratio</t>
        </is>
      </c>
      <c r="E20" s="21" t="inlineStr">
        <is>
          <t>Relative call versus put flow</t>
        </is>
      </c>
      <c r="F20" s="21" t="inlineStr">
        <is>
          <t>derived from raw chain</t>
        </is>
      </c>
      <c r="G20" s="21" t="inlineStr">
        <is>
          <t>Flow bias</t>
        </is>
      </c>
      <c r="H20" s="21" t="inlineStr">
        <is>
          <t>Derived only</t>
        </is>
      </c>
    </row>
    <row r="21">
      <c r="A21" s="20" t="inlineStr">
        <is>
          <t>Options derived</t>
        </is>
      </c>
      <c r="B21" s="20" t="inlineStr">
        <is>
          <t>DF18</t>
        </is>
      </c>
      <c r="C21" s="21" t="inlineStr">
        <is>
          <t>Call/put OI ratio</t>
        </is>
      </c>
      <c r="D21" s="21" t="inlineStr">
        <is>
          <t>ratio</t>
        </is>
      </c>
      <c r="E21" s="21" t="inlineStr">
        <is>
          <t>Relative call versus put crowding</t>
        </is>
      </c>
      <c r="F21" s="21" t="inlineStr">
        <is>
          <t>derived from raw chain</t>
        </is>
      </c>
      <c r="G21" s="21" t="inlineStr">
        <is>
          <t>Crowding bias</t>
        </is>
      </c>
      <c r="H21" s="21" t="inlineStr">
        <is>
          <t>Derived only</t>
        </is>
      </c>
    </row>
    <row r="22">
      <c r="A22" s="20" t="inlineStr">
        <is>
          <t>Options derived</t>
        </is>
      </c>
      <c r="B22" s="20" t="inlineStr">
        <is>
          <t>DF19</t>
        </is>
      </c>
      <c r="C22" s="21" t="inlineStr">
        <is>
          <t>Near-spot OI concentration</t>
        </is>
      </c>
      <c r="D22" s="21" t="inlineStr">
        <is>
          <t>ratio</t>
        </is>
      </c>
      <c r="E22" s="21" t="inlineStr">
        <is>
          <t>Concentration of OI around spot</t>
        </is>
      </c>
      <c r="F22" s="21" t="inlineStr">
        <is>
          <t>derived from raw chain</t>
        </is>
      </c>
      <c r="G22" s="21" t="inlineStr">
        <is>
          <t>Pinning and squeeze context</t>
        </is>
      </c>
      <c r="H22" s="21" t="inlineStr">
        <is>
          <t>Derived only</t>
        </is>
      </c>
    </row>
    <row r="23">
      <c r="A23" s="20" t="inlineStr">
        <is>
          <t>Options derived</t>
        </is>
      </c>
      <c r="B23" s="20" t="inlineStr">
        <is>
          <t>DF20</t>
        </is>
      </c>
      <c r="C23" s="21" t="inlineStr">
        <is>
          <t>Dominant strike</t>
        </is>
      </c>
      <c r="D23" s="21" t="inlineStr">
        <is>
          <t>price</t>
        </is>
      </c>
      <c r="E23" s="21" t="inlineStr">
        <is>
          <t>Strike with dominant near-spot activity</t>
        </is>
      </c>
      <c r="F23" s="21" t="inlineStr">
        <is>
          <t>derived from raw chain</t>
        </is>
      </c>
      <c r="G23" s="21" t="inlineStr">
        <is>
          <t>Pin and magnet analysis</t>
        </is>
      </c>
      <c r="H23" s="21" t="inlineStr">
        <is>
          <t>Derived only</t>
        </is>
      </c>
    </row>
    <row r="24">
      <c r="A24" s="20" t="inlineStr">
        <is>
          <t>Options derived</t>
        </is>
      </c>
      <c r="B24" s="20" t="inlineStr">
        <is>
          <t>DF21</t>
        </is>
      </c>
      <c r="C24" s="21" t="inlineStr">
        <is>
          <t>Spot-to-pin distance</t>
        </is>
      </c>
      <c r="D24" s="21" t="inlineStr">
        <is>
          <t>percent</t>
        </is>
      </c>
      <c r="E24" s="21" t="inlineStr">
        <is>
          <t>Distance from spot to dominant strike</t>
        </is>
      </c>
      <c r="F24" s="21" t="inlineStr">
        <is>
          <t>derived from raw chain + underlying spot</t>
        </is>
      </c>
      <c r="G24" s="21" t="inlineStr">
        <is>
          <t>Pin proximity</t>
        </is>
      </c>
      <c r="H24" s="21" t="inlineStr">
        <is>
          <t>Derived only</t>
        </is>
      </c>
    </row>
    <row r="25">
      <c r="A25" s="20" t="inlineStr">
        <is>
          <t>Options derived</t>
        </is>
      </c>
      <c r="B25" s="20" t="inlineStr">
        <is>
          <t>DF22</t>
        </is>
      </c>
      <c r="C25" s="21" t="inlineStr">
        <is>
          <t>Pin progression</t>
        </is>
      </c>
      <c r="D25" s="21" t="inlineStr">
        <is>
          <t>state or signed delta</t>
        </is>
      </c>
      <c r="E25" s="21" t="inlineStr">
        <is>
          <t>Movement toward or away from dominant strike</t>
        </is>
      </c>
      <c r="F25" s="21" t="inlineStr">
        <is>
          <t>derived from raw snapshot sequence</t>
        </is>
      </c>
      <c r="G25" s="21" t="inlineStr">
        <is>
          <t>Pin build versus release</t>
        </is>
      </c>
      <c r="H25" s="21" t="inlineStr">
        <is>
          <t>Derived only</t>
        </is>
      </c>
    </row>
    <row r="26">
      <c r="A26" s="20" t="inlineStr">
        <is>
          <t>Options derived</t>
        </is>
      </c>
      <c r="B26" s="20" t="inlineStr">
        <is>
          <t>DF23</t>
        </is>
      </c>
      <c r="C26" s="21" t="inlineStr">
        <is>
          <t>Gamma pressure score</t>
        </is>
      </c>
      <c r="D26" s="21" t="inlineStr">
        <is>
          <t>0 to 1</t>
        </is>
      </c>
      <c r="E26" s="21" t="inlineStr">
        <is>
          <t>Compressed dealer-pressure proxy</t>
        </is>
      </c>
      <c r="F26" s="21" t="inlineStr">
        <is>
          <t>derived from raw chain + gamma inputs</t>
        </is>
      </c>
      <c r="G26" s="21" t="inlineStr">
        <is>
          <t>Stabilising versus destabilising flow</t>
        </is>
      </c>
      <c r="H26" s="21" t="inlineStr">
        <is>
          <t>Derived only</t>
        </is>
      </c>
    </row>
    <row r="27">
      <c r="A27" s="20" t="inlineStr">
        <is>
          <t>Options derived</t>
        </is>
      </c>
      <c r="B27" s="20" t="inlineStr">
        <is>
          <t>DF24</t>
        </is>
      </c>
      <c r="C27" s="21" t="inlineStr">
        <is>
          <t>Strike-cluster state</t>
        </is>
      </c>
      <c r="D27" s="21" t="inlineStr">
        <is>
          <t>label</t>
        </is>
      </c>
      <c r="E27" s="21" t="inlineStr">
        <is>
          <t>Live pin cluster versus distributed cluster</t>
        </is>
      </c>
      <c r="F27" s="21" t="inlineStr">
        <is>
          <t>derived from raw chain</t>
        </is>
      </c>
      <c r="G27" s="21" t="inlineStr">
        <is>
          <t>Supports pin-specific playbooks</t>
        </is>
      </c>
      <c r="H27" s="21" t="inlineStr">
        <is>
          <t>Derived only</t>
        </is>
      </c>
    </row>
    <row r="28">
      <c r="A28" s="20" t="inlineStr">
        <is>
          <t>Options derived</t>
        </is>
      </c>
      <c r="B28" s="20" t="inlineStr">
        <is>
          <t>DF25</t>
        </is>
      </c>
      <c r="C28" s="21" t="inlineStr">
        <is>
          <t>Front-expiry pin pressure state</t>
        </is>
      </c>
      <c r="D28" s="21" t="inlineStr">
        <is>
          <t>label</t>
        </is>
      </c>
      <c r="E28" s="21" t="inlineStr">
        <is>
          <t>Front expiry pin build/stable/release state</t>
        </is>
      </c>
      <c r="F28" s="21" t="inlineStr">
        <is>
          <t>derived from raw chain + pin progression</t>
        </is>
      </c>
      <c r="G28" s="21" t="inlineStr">
        <is>
          <t>Dedicated options-first playbook input</t>
        </is>
      </c>
      <c r="H28" s="21" t="inlineStr">
        <is>
          <t>Derived only</t>
        </is>
      </c>
    </row>
    <row r="29">
      <c r="A29" s="20" t="inlineStr">
        <is>
          <t>Options derived</t>
        </is>
      </c>
      <c r="B29" s="20" t="inlineStr">
        <is>
          <t>DF26</t>
        </is>
      </c>
      <c r="C29" s="21" t="inlineStr">
        <is>
          <t>Term-structure dislocation state</t>
        </is>
      </c>
      <c r="D29" s="21" t="inlineStr">
        <is>
          <t>label</t>
        </is>
      </c>
      <c r="E29" s="21" t="inlineStr">
        <is>
          <t>Front-loaded or back-loaded dislocation state</t>
        </is>
      </c>
      <c r="F29" s="21" t="inlineStr">
        <is>
          <t>derived from raw chain across expiries</t>
        </is>
      </c>
      <c r="G29" s="21" t="inlineStr">
        <is>
          <t>Dedicated options-first playbook input</t>
        </is>
      </c>
      <c r="H29" s="21" t="inlineStr">
        <is>
          <t>Derived only</t>
        </is>
      </c>
    </row>
    <row r="30">
      <c r="A30" s="20" t="inlineStr">
        <is>
          <t>Options derived</t>
        </is>
      </c>
      <c r="B30" s="20" t="inlineStr">
        <is>
          <t>DF27</t>
        </is>
      </c>
      <c r="C30" s="21" t="inlineStr">
        <is>
          <t>Skew pressure state</t>
        </is>
      </c>
      <c r="D30" s="21" t="inlineStr">
        <is>
          <t>label</t>
        </is>
      </c>
      <c r="E30" s="21" t="inlineStr">
        <is>
          <t>Downside hedging or upside chase pressure state</t>
        </is>
      </c>
      <c r="F30" s="21" t="inlineStr">
        <is>
          <t>derived from raw chain</t>
        </is>
      </c>
      <c r="G30" s="21" t="inlineStr">
        <is>
          <t>Dedicated options-first playbook input</t>
        </is>
      </c>
      <c r="H30" s="21" t="inlineStr">
        <is>
          <t>Derived only</t>
        </is>
      </c>
    </row>
    <row r="31">
      <c r="A31" s="20" t="inlineStr">
        <is>
          <t>Regime derived</t>
        </is>
      </c>
      <c r="B31" s="20" t="inlineStr">
        <is>
          <t>DF28</t>
        </is>
      </c>
      <c r="C31" s="21" t="inlineStr">
        <is>
          <t>Breadth score</t>
        </is>
      </c>
      <c r="D31" s="21" t="inlineStr">
        <is>
          <t>ratio</t>
        </is>
      </c>
      <c r="E31" s="21" t="inlineStr">
        <is>
          <t>Breadth normalisation</t>
        </is>
      </c>
      <c r="F31" s="21" t="inlineStr">
        <is>
          <t>derived from raw breadth counts</t>
        </is>
      </c>
      <c r="G31" s="21" t="inlineStr">
        <is>
          <t>Broad versus narrow tape</t>
        </is>
      </c>
      <c r="H31" s="21" t="inlineStr">
        <is>
          <t>Derived only</t>
        </is>
      </c>
    </row>
    <row r="32">
      <c r="A32" s="20" t="inlineStr">
        <is>
          <t>Regime derived</t>
        </is>
      </c>
      <c r="B32" s="20" t="inlineStr">
        <is>
          <t>DF29</t>
        </is>
      </c>
      <c r="C32" s="21" t="inlineStr">
        <is>
          <t>Concentration score</t>
        </is>
      </c>
      <c r="D32" s="21" t="inlineStr">
        <is>
          <t>ratio</t>
        </is>
      </c>
      <c r="E32" s="21" t="inlineStr">
        <is>
          <t>Concentration normalisation</t>
        </is>
      </c>
      <c r="F32" s="21" t="inlineStr">
        <is>
          <t>derived from raw constituents / returns</t>
        </is>
      </c>
      <c r="G32" s="21" t="inlineStr">
        <is>
          <t>Broad tape quality</t>
        </is>
      </c>
      <c r="H32" s="21" t="inlineStr">
        <is>
          <t>Derived only</t>
        </is>
      </c>
    </row>
    <row r="33">
      <c r="A33" s="20" t="inlineStr">
        <is>
          <t>Regime derived</t>
        </is>
      </c>
      <c r="B33" s="20" t="inlineStr">
        <is>
          <t>DF30</t>
        </is>
      </c>
      <c r="C33" s="21" t="inlineStr">
        <is>
          <t>Market regime label</t>
        </is>
      </c>
      <c r="D33" s="21" t="inlineStr">
        <is>
          <t>label</t>
        </is>
      </c>
      <c r="E33" s="21" t="inlineStr">
        <is>
          <t>Supportive/hostile/balanced tape state</t>
        </is>
      </c>
      <c r="F33" s="21" t="inlineStr">
        <is>
          <t>derived from raw cross-asset inputs</t>
        </is>
      </c>
      <c r="G33" s="21" t="inlineStr">
        <is>
          <t>Stage-2 regime output precursor</t>
        </is>
      </c>
      <c r="H33" s="21" t="inlineStr">
        <is>
          <t>Derived only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4" customWidth="1" min="4" max="4"/>
    <col width="20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Options Chain Raw Capture Spec</t>
        </is>
      </c>
    </row>
    <row r="2">
      <c r="A2" t="inlineStr">
        <is>
          <t>Dense front-expiry capture; coarser farther-tenor capture. Preserve raw chain rows first, derive state later.</t>
        </is>
      </c>
    </row>
    <row r="3">
      <c r="A3" s="15" t="inlineStr">
        <is>
          <t>Section</t>
        </is>
      </c>
      <c r="B3" s="15" t="inlineStr">
        <is>
          <t>Spec_ID</t>
        </is>
      </c>
      <c r="C3" s="15" t="inlineStr">
        <is>
          <t>Name</t>
        </is>
      </c>
      <c r="D3" s="15" t="inlineStr">
        <is>
          <t>Value / Unit</t>
        </is>
      </c>
      <c r="E3" s="15" t="inlineStr">
        <is>
          <t>Purpose</t>
        </is>
      </c>
      <c r="F3" s="15" t="inlineStr">
        <is>
          <t>Capture Policy</t>
        </is>
      </c>
      <c r="G3" s="15" t="inlineStr">
        <is>
          <t>Why It Matters</t>
        </is>
      </c>
      <c r="H3" s="15" t="inlineStr">
        <is>
          <t>Notes</t>
        </is>
      </c>
    </row>
    <row r="4">
      <c r="A4" s="20" t="inlineStr">
        <is>
          <t>Dense capture policy</t>
        </is>
      </c>
      <c r="B4" s="20" t="inlineStr">
        <is>
          <t>OCS01</t>
        </is>
      </c>
      <c r="C4" s="21" t="inlineStr">
        <is>
          <t>Dense expiries</t>
        </is>
      </c>
      <c r="D4" s="21" t="inlineStr">
        <is>
          <t>front 2 expiries</t>
        </is>
      </c>
      <c r="E4" s="21" t="inlineStr">
        <is>
          <t>High-resolution live options monitoring</t>
        </is>
      </c>
      <c r="F4" s="21" t="inlineStr">
        <is>
          <t>Capture every 30 seconds during RTH</t>
        </is>
      </c>
      <c r="G4" s="21" t="inlineStr">
        <is>
          <t>These expiries drive pin, dislocation, and skew transitions most directly</t>
        </is>
      </c>
      <c r="H4" s="21" t="inlineStr">
        <is>
          <t>Do not skip because the chain is “too noisy”</t>
        </is>
      </c>
    </row>
    <row r="5">
      <c r="A5" s="20" t="inlineStr">
        <is>
          <t>Dense capture policy</t>
        </is>
      </c>
      <c r="B5" s="20" t="inlineStr">
        <is>
          <t>OCS02</t>
        </is>
      </c>
      <c r="C5" s="21" t="inlineStr">
        <is>
          <t>Dense strike band</t>
        </is>
      </c>
      <c r="D5" s="21" t="inlineStr">
        <is>
          <t>near-spot strikes</t>
        </is>
      </c>
      <c r="E5" s="21" t="inlineStr">
        <is>
          <t>High-resolution strike neighbourhood</t>
        </is>
      </c>
      <c r="F5" s="21" t="inlineStr">
        <is>
          <t>Capture the near-spot strike band each loop</t>
        </is>
      </c>
      <c r="G5" s="21" t="inlineStr">
        <is>
          <t>Most useful dealer-flow information sits near spot</t>
        </is>
      </c>
      <c r="H5" s="21" t="inlineStr">
        <is>
          <t>Use spot-relative band or delta band</t>
        </is>
      </c>
    </row>
    <row r="6">
      <c r="A6" s="20" t="inlineStr">
        <is>
          <t>Dense capture policy</t>
        </is>
      </c>
      <c r="B6" s="20" t="inlineStr">
        <is>
          <t>OCS03</t>
        </is>
      </c>
      <c r="C6" s="21" t="inlineStr">
        <is>
          <t>Coarse tenor capture</t>
        </is>
      </c>
      <c r="D6" s="21" t="inlineStr">
        <is>
          <t>expiry 3 onward</t>
        </is>
      </c>
      <c r="E6" s="21" t="inlineStr">
        <is>
          <t>Term-structure context without landfill</t>
        </is>
      </c>
      <c r="F6" s="21" t="inlineStr">
        <is>
          <t>Capture coarser summary farther out</t>
        </is>
      </c>
      <c r="G6" s="21" t="inlineStr">
        <is>
          <t>Avoid full 365-day chain every 30 seconds</t>
        </is>
      </c>
      <c r="H6" s="21" t="inlineStr">
        <is>
          <t>Summaries can be built from sampled rows</t>
        </is>
      </c>
    </row>
    <row r="7">
      <c r="A7" s="20" t="inlineStr">
        <is>
          <t>Raw row key</t>
        </is>
      </c>
      <c r="B7" s="20" t="inlineStr">
        <is>
          <t>OCS04</t>
        </is>
      </c>
      <c r="C7" s="21" t="inlineStr">
        <is>
          <t>Timestamp</t>
        </is>
      </c>
      <c r="D7" s="21" t="inlineStr">
        <is>
          <t>datetime</t>
        </is>
      </c>
      <c r="E7" s="21" t="inlineStr">
        <is>
          <t>Snapshot key</t>
        </is>
      </c>
      <c r="F7" s="21" t="inlineStr">
        <is>
          <t>Store once per row or per snapshot header</t>
        </is>
      </c>
      <c r="G7" s="21" t="inlineStr">
        <is>
          <t>Needed for sequence logic</t>
        </is>
      </c>
      <c r="H7" s="21" t="inlineStr">
        <is>
          <t>Exchange / vendor timestamp preferred</t>
        </is>
      </c>
    </row>
    <row r="8">
      <c r="A8" s="20" t="inlineStr">
        <is>
          <t>Raw row key</t>
        </is>
      </c>
      <c r="B8" s="20" t="inlineStr">
        <is>
          <t>OCS05</t>
        </is>
      </c>
      <c r="C8" s="21" t="inlineStr">
        <is>
          <t>Expiry</t>
        </is>
      </c>
      <c r="D8" s="21" t="inlineStr">
        <is>
          <t>date</t>
        </is>
      </c>
      <c r="E8" s="21" t="inlineStr">
        <is>
          <t>Snapshot key</t>
        </is>
      </c>
      <c r="F8" s="21" t="inlineStr">
        <is>
          <t>Every captured row</t>
        </is>
      </c>
      <c r="G8" s="21" t="inlineStr">
        <is>
          <t>Needed for DTE and tenor grouping</t>
        </is>
      </c>
      <c r="H8" s="21" t="inlineStr">
        <is>
          <t>Raw</t>
        </is>
      </c>
    </row>
    <row r="9">
      <c r="A9" s="20" t="inlineStr">
        <is>
          <t>Raw row key</t>
        </is>
      </c>
      <c r="B9" s="20" t="inlineStr">
        <is>
          <t>OCS06</t>
        </is>
      </c>
      <c r="C9" s="21" t="inlineStr">
        <is>
          <t>DTE</t>
        </is>
      </c>
      <c r="D9" s="21" t="inlineStr">
        <is>
          <t>days</t>
        </is>
      </c>
      <c r="E9" s="21" t="inlineStr">
        <is>
          <t>Snapshot key</t>
        </is>
      </c>
      <c r="F9" s="21" t="inlineStr">
        <is>
          <t>Every captured row</t>
        </is>
      </c>
      <c r="G9" s="21" t="inlineStr">
        <is>
          <t>Needed for tenor grouping</t>
        </is>
      </c>
      <c r="H9" s="21" t="inlineStr">
        <is>
          <t>Raw if vendor supplies; else derive from expiry and ts</t>
        </is>
      </c>
    </row>
    <row r="10">
      <c r="A10" s="20" t="inlineStr">
        <is>
          <t>Raw row key</t>
        </is>
      </c>
      <c r="B10" s="20" t="inlineStr">
        <is>
          <t>OCS07</t>
        </is>
      </c>
      <c r="C10" s="21" t="inlineStr">
        <is>
          <t>Strike</t>
        </is>
      </c>
      <c r="D10" s="21" t="inlineStr">
        <is>
          <t>price</t>
        </is>
      </c>
      <c r="E10" s="21" t="inlineStr">
        <is>
          <t>Snapshot key</t>
        </is>
      </c>
      <c r="F10" s="21" t="inlineStr">
        <is>
          <t>Every captured row</t>
        </is>
      </c>
      <c r="G10" s="21" t="inlineStr">
        <is>
          <t>Needed for clustering and pin work</t>
        </is>
      </c>
      <c r="H10" s="21" t="inlineStr">
        <is>
          <t>Raw</t>
        </is>
      </c>
    </row>
    <row r="11">
      <c r="A11" s="20" t="inlineStr">
        <is>
          <t>Raw row key</t>
        </is>
      </c>
      <c r="B11" s="20" t="inlineStr">
        <is>
          <t>OCS08</t>
        </is>
      </c>
      <c r="C11" s="21" t="inlineStr">
        <is>
          <t>Side</t>
        </is>
      </c>
      <c r="D11" s="21" t="inlineStr">
        <is>
          <t>call/put</t>
        </is>
      </c>
      <c r="E11" s="21" t="inlineStr">
        <is>
          <t>Snapshot key</t>
        </is>
      </c>
      <c r="F11" s="21" t="inlineStr">
        <is>
          <t>Every captured row</t>
        </is>
      </c>
      <c r="G11" s="21" t="inlineStr">
        <is>
          <t>Needed for skew and pressure work</t>
        </is>
      </c>
      <c r="H11" s="21" t="inlineStr">
        <is>
          <t>Raw</t>
        </is>
      </c>
    </row>
    <row r="12">
      <c r="A12" s="20" t="inlineStr">
        <is>
          <t>Row quote field</t>
        </is>
      </c>
      <c r="B12" s="20" t="inlineStr">
        <is>
          <t>OCS09</t>
        </is>
      </c>
      <c r="C12" s="21" t="inlineStr">
        <is>
          <t>Bid</t>
        </is>
      </c>
      <c r="D12" s="21" t="inlineStr">
        <is>
          <t>premium</t>
        </is>
      </c>
      <c r="E12" s="21" t="inlineStr">
        <is>
          <t>Displayed quote</t>
        </is>
      </c>
      <c r="F12" s="21" t="inlineStr">
        <is>
          <t>Every captured row</t>
        </is>
      </c>
      <c r="G12" s="21" t="inlineStr">
        <is>
          <t>Quote-liquidity primitive</t>
        </is>
      </c>
      <c r="H12" s="21" t="inlineStr">
        <is>
          <t>Raw</t>
        </is>
      </c>
    </row>
    <row r="13">
      <c r="A13" s="20" t="inlineStr">
        <is>
          <t>Row quote field</t>
        </is>
      </c>
      <c r="B13" s="20" t="inlineStr">
        <is>
          <t>OCS10</t>
        </is>
      </c>
      <c r="C13" s="21" t="inlineStr">
        <is>
          <t>Ask</t>
        </is>
      </c>
      <c r="D13" s="21" t="inlineStr">
        <is>
          <t>premium</t>
        </is>
      </c>
      <c r="E13" s="21" t="inlineStr">
        <is>
          <t>Displayed quote</t>
        </is>
      </c>
      <c r="F13" s="21" t="inlineStr">
        <is>
          <t>Every captured row</t>
        </is>
      </c>
      <c r="G13" s="21" t="inlineStr">
        <is>
          <t>Quote-liquidity primitive</t>
        </is>
      </c>
      <c r="H13" s="21" t="inlineStr">
        <is>
          <t>Raw</t>
        </is>
      </c>
    </row>
    <row r="14">
      <c r="A14" s="20" t="inlineStr">
        <is>
          <t>Row quote field</t>
        </is>
      </c>
      <c r="B14" s="20" t="inlineStr">
        <is>
          <t>OCS11</t>
        </is>
      </c>
      <c r="C14" s="21" t="inlineStr">
        <is>
          <t>Last</t>
        </is>
      </c>
      <c r="D14" s="21" t="inlineStr">
        <is>
          <t>premium</t>
        </is>
      </c>
      <c r="E14" s="21" t="inlineStr">
        <is>
          <t>Last trade</t>
        </is>
      </c>
      <c r="F14" s="21" t="inlineStr">
        <is>
          <t>Every captured row</t>
        </is>
      </c>
      <c r="G14" s="21" t="inlineStr">
        <is>
          <t>Print primitive</t>
        </is>
      </c>
      <c r="H14" s="21" t="inlineStr">
        <is>
          <t>Raw</t>
        </is>
      </c>
    </row>
    <row r="15">
      <c r="A15" s="20" t="inlineStr">
        <is>
          <t>Row quote field</t>
        </is>
      </c>
      <c r="B15" s="20" t="inlineStr">
        <is>
          <t>OCS12</t>
        </is>
      </c>
      <c r="C15" s="21" t="inlineStr">
        <is>
          <t>IV</t>
        </is>
      </c>
      <c r="D15" s="21" t="inlineStr">
        <is>
          <t>percent</t>
        </is>
      </c>
      <c r="E15" s="21" t="inlineStr">
        <is>
          <t>Vendor-supplied IV</t>
        </is>
      </c>
      <c r="F15" s="21" t="inlineStr">
        <is>
          <t>Every captured row when vendor supplies it</t>
        </is>
      </c>
      <c r="G15" s="21" t="inlineStr">
        <is>
          <t>Supports richer derived options state</t>
        </is>
      </c>
      <c r="H15" s="21" t="inlineStr">
        <is>
          <t>Raw only if vendor-supplied</t>
        </is>
      </c>
    </row>
    <row r="16">
      <c r="A16" s="20" t="inlineStr">
        <is>
          <t>Row quote field</t>
        </is>
      </c>
      <c r="B16" s="20" t="inlineStr">
        <is>
          <t>OCS13</t>
        </is>
      </c>
      <c r="C16" s="21" t="inlineStr">
        <is>
          <t>Delta</t>
        </is>
      </c>
      <c r="D16" s="21" t="inlineStr">
        <is>
          <t>decimal</t>
        </is>
      </c>
      <c r="E16" s="21" t="inlineStr">
        <is>
          <t>Vendor-supplied delta</t>
        </is>
      </c>
      <c r="F16" s="21" t="inlineStr">
        <is>
          <t>Every captured row when vendor supplies it</t>
        </is>
      </c>
      <c r="G16" s="21" t="inlineStr">
        <is>
          <t>Supports richer derived dealer state</t>
        </is>
      </c>
      <c r="H16" s="21" t="inlineStr">
        <is>
          <t>Raw only if vendor-supplied</t>
        </is>
      </c>
    </row>
    <row r="17">
      <c r="A17" s="20" t="inlineStr">
        <is>
          <t>Row quote field</t>
        </is>
      </c>
      <c r="B17" s="20" t="inlineStr">
        <is>
          <t>OCS14</t>
        </is>
      </c>
      <c r="C17" s="21" t="inlineStr">
        <is>
          <t>Gamma</t>
        </is>
      </c>
      <c r="D17" s="21" t="inlineStr">
        <is>
          <t>decimal</t>
        </is>
      </c>
      <c r="E17" s="21" t="inlineStr">
        <is>
          <t>Vendor-supplied gamma</t>
        </is>
      </c>
      <c r="F17" s="21" t="inlineStr">
        <is>
          <t>Every captured row when vendor supplies it</t>
        </is>
      </c>
      <c r="G17" s="21" t="inlineStr">
        <is>
          <t>Supports richer derived dealer state</t>
        </is>
      </c>
      <c r="H17" s="21" t="inlineStr">
        <is>
          <t>Raw only if vendor-supplied</t>
        </is>
      </c>
    </row>
    <row r="18">
      <c r="A18" s="20" t="inlineStr">
        <is>
          <t>Row participation field</t>
        </is>
      </c>
      <c r="B18" s="20" t="inlineStr">
        <is>
          <t>OCS15</t>
        </is>
      </c>
      <c r="C18" s="21" t="inlineStr">
        <is>
          <t>Volume</t>
        </is>
      </c>
      <c r="D18" s="21" t="inlineStr">
        <is>
          <t>contracts</t>
        </is>
      </c>
      <c r="E18" s="21" t="inlineStr">
        <is>
          <t>Vendor participation field</t>
        </is>
      </c>
      <c r="F18" s="21" t="inlineStr">
        <is>
          <t>Every captured row when vendor supplies it</t>
        </is>
      </c>
      <c r="G18" s="21" t="inlineStr">
        <is>
          <t>Supports flow and activity analysis</t>
        </is>
      </c>
      <c r="H18" s="21" t="inlineStr">
        <is>
          <t>Raw only if vendor-supplied</t>
        </is>
      </c>
    </row>
    <row r="19">
      <c r="A19" s="20" t="inlineStr">
        <is>
          <t>Row participation field</t>
        </is>
      </c>
      <c r="B19" s="20" t="inlineStr">
        <is>
          <t>OCS16</t>
        </is>
      </c>
      <c r="C19" s="21" t="inlineStr">
        <is>
          <t>Open interest</t>
        </is>
      </c>
      <c r="D19" s="21" t="inlineStr">
        <is>
          <t>contracts</t>
        </is>
      </c>
      <c r="E19" s="21" t="inlineStr">
        <is>
          <t>Vendor crowding field</t>
        </is>
      </c>
      <c r="F19" s="21" t="inlineStr">
        <is>
          <t>Every captured row when vendor supplies it</t>
        </is>
      </c>
      <c r="G19" s="21" t="inlineStr">
        <is>
          <t>Supports pin and concentration analysis</t>
        </is>
      </c>
      <c r="H19" s="21" t="inlineStr">
        <is>
          <t>Raw only if vendor-supplied</t>
        </is>
      </c>
    </row>
    <row r="20">
      <c r="A20" s="20" t="inlineStr">
        <is>
          <t>Broker-specific field</t>
        </is>
      </c>
      <c r="B20" s="20" t="inlineStr">
        <is>
          <t>OCS17</t>
        </is>
      </c>
      <c r="C20" s="21" t="inlineStr">
        <is>
          <t>Broker row metric A</t>
        </is>
      </c>
      <c r="D20" s="21" t="inlineStr">
        <is>
          <t>vendor-specific</t>
        </is>
      </c>
      <c r="E20" s="21" t="inlineStr">
        <is>
          <t>Unlabelled per-row broker field</t>
        </is>
      </c>
      <c r="F20" s="21" t="inlineStr">
        <is>
          <t>Preserve until labelled</t>
        </is>
      </c>
      <c r="G20" s="21" t="inlineStr">
        <is>
          <t>May become useful later; do not hallucinate meaning</t>
        </is>
      </c>
      <c r="H20" s="21" t="inlineStr">
        <is>
          <t>From user screenshot; label not yet confirmed</t>
        </is>
      </c>
    </row>
    <row r="21">
      <c r="A21" s="20" t="inlineStr">
        <is>
          <t>Broker-specific field</t>
        </is>
      </c>
      <c r="B21" s="20" t="inlineStr">
        <is>
          <t>OCS18</t>
        </is>
      </c>
      <c r="C21" s="21" t="inlineStr">
        <is>
          <t>Broker row metric B</t>
        </is>
      </c>
      <c r="D21" s="21" t="inlineStr">
        <is>
          <t>vendor-specific</t>
        </is>
      </c>
      <c r="E21" s="21" t="inlineStr">
        <is>
          <t>Unlabelled per-row broker field</t>
        </is>
      </c>
      <c r="F21" s="21" t="inlineStr">
        <is>
          <t>Preserve until labelled</t>
        </is>
      </c>
      <c r="G21" s="21" t="inlineStr">
        <is>
          <t>May become useful later; do not hallucinate meaning</t>
        </is>
      </c>
      <c r="H21" s="21" t="inlineStr">
        <is>
          <t>From user screenshot; label not yet confirmed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4" customWidth="1" min="4" max="4"/>
    <col width="20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Volume Baseline Raw Spec</t>
        </is>
      </c>
    </row>
    <row r="2">
      <c r="A2" t="inlineStr">
        <is>
          <t>Historical same-bucket baselines needed so participation logic is not a toy recent-average proxy.</t>
        </is>
      </c>
    </row>
    <row r="3">
      <c r="A3" s="15" t="inlineStr">
        <is>
          <t>Family</t>
        </is>
      </c>
      <c r="B3" s="15" t="inlineStr">
        <is>
          <t>Field_ID</t>
        </is>
      </c>
      <c r="C3" s="15" t="inlineStr">
        <is>
          <t>Field_Name</t>
        </is>
      </c>
      <c r="D3" s="15" t="inlineStr">
        <is>
          <t>Unit</t>
        </is>
      </c>
      <c r="E3" s="15" t="inlineStr">
        <is>
          <t>Purpose</t>
        </is>
      </c>
      <c r="F3" s="15" t="inlineStr">
        <is>
          <t>Source / Build</t>
        </is>
      </c>
      <c r="G3" s="15" t="inlineStr">
        <is>
          <t>Why It Matters</t>
        </is>
      </c>
      <c r="H3" s="15" t="inlineStr">
        <is>
          <t>Notes</t>
        </is>
      </c>
    </row>
    <row r="4">
      <c r="A4" s="20" t="inlineStr">
        <is>
          <t>Historical baseline raw</t>
        </is>
      </c>
      <c r="B4" s="20" t="inlineStr">
        <is>
          <t>VB01</t>
        </is>
      </c>
      <c r="C4" s="21" t="inlineStr">
        <is>
          <t>Same-bucket median volume</t>
        </is>
      </c>
      <c r="D4" s="21" t="inlineStr">
        <is>
          <t>shares / bucket</t>
        </is>
      </c>
      <c r="E4" s="21" t="inlineStr">
        <is>
          <t>True intraday participation baseline</t>
        </is>
      </c>
      <c r="F4" s="21" t="inlineStr">
        <is>
          <t>offline historical bar store</t>
        </is>
      </c>
      <c r="G4" s="21" t="inlineStr">
        <is>
          <t>Needed for real relative volume by time of day</t>
        </is>
      </c>
      <c r="H4" s="21" t="inlineStr">
        <is>
          <t>Use same session bucket across prior N sessions</t>
        </is>
      </c>
    </row>
    <row r="5">
      <c r="A5" s="20" t="inlineStr">
        <is>
          <t>Historical baseline raw</t>
        </is>
      </c>
      <c r="B5" s="20" t="inlineStr">
        <is>
          <t>VB02</t>
        </is>
      </c>
      <c r="C5" s="21" t="inlineStr">
        <is>
          <t>Same-bucket mean volume</t>
        </is>
      </c>
      <c r="D5" s="21" t="inlineStr">
        <is>
          <t>shares / bucket</t>
        </is>
      </c>
      <c r="E5" s="21" t="inlineStr">
        <is>
          <t>Alternative participation baseline</t>
        </is>
      </c>
      <c r="F5" s="21" t="inlineStr">
        <is>
          <t>offline historical bar store</t>
        </is>
      </c>
      <c r="G5" s="21" t="inlineStr">
        <is>
          <t>Useful for averages and sanity checks</t>
        </is>
      </c>
      <c r="H5" s="21" t="inlineStr">
        <is>
          <t>Store alongside median</t>
        </is>
      </c>
    </row>
    <row r="6">
      <c r="A6" s="20" t="inlineStr">
        <is>
          <t>Historical baseline raw</t>
        </is>
      </c>
      <c r="B6" s="20" t="inlineStr">
        <is>
          <t>VB03</t>
        </is>
      </c>
      <c r="C6" s="21" t="inlineStr">
        <is>
          <t>Same-bucket volume stdev</t>
        </is>
      </c>
      <c r="D6" s="21" t="inlineStr">
        <is>
          <t>shares / bucket</t>
        </is>
      </c>
      <c r="E6" s="21" t="inlineStr">
        <is>
          <t>Dispersion baseline</t>
        </is>
      </c>
      <c r="F6" s="21" t="inlineStr">
        <is>
          <t>offline historical bar store</t>
        </is>
      </c>
      <c r="G6" s="21" t="inlineStr">
        <is>
          <t>Enables z-score anomaly logic</t>
        </is>
      </c>
      <c r="H6" s="21" t="inlineStr">
        <is>
          <t>Offline build</t>
        </is>
      </c>
    </row>
    <row r="7">
      <c r="A7" s="20" t="inlineStr">
        <is>
          <t>Historical baseline raw</t>
        </is>
      </c>
      <c r="B7" s="20" t="inlineStr">
        <is>
          <t>VB04</t>
        </is>
      </c>
      <c r="C7" s="21" t="inlineStr">
        <is>
          <t>Same-bucket median trade count</t>
        </is>
      </c>
      <c r="D7" s="21" t="inlineStr">
        <is>
          <t>count / bucket</t>
        </is>
      </c>
      <c r="E7" s="21" t="inlineStr">
        <is>
          <t>Activity quality baseline</t>
        </is>
      </c>
      <c r="F7" s="21" t="inlineStr">
        <is>
          <t>offline historical trade store</t>
        </is>
      </c>
      <c r="G7" s="21" t="inlineStr">
        <is>
          <t>Distinguishes high volume from many small prints</t>
        </is>
      </c>
      <c r="H7" s="21" t="inlineStr">
        <is>
          <t>Offline build</t>
        </is>
      </c>
    </row>
    <row r="8">
      <c r="A8" s="20" t="inlineStr">
        <is>
          <t>Historical baseline raw</t>
        </is>
      </c>
      <c r="B8" s="20" t="inlineStr">
        <is>
          <t>VB05</t>
        </is>
      </c>
      <c r="C8" s="21" t="inlineStr">
        <is>
          <t>Same-bucket median spread</t>
        </is>
      </c>
      <c r="D8" s="21" t="inlineStr">
        <is>
          <t>bps</t>
        </is>
      </c>
      <c r="E8" s="21" t="inlineStr">
        <is>
          <t>Liquidity-cost baseline</t>
        </is>
      </c>
      <c r="F8" s="21" t="inlineStr">
        <is>
          <t>offline historical quote store</t>
        </is>
      </c>
      <c r="G8" s="21" t="inlineStr">
        <is>
          <t>Needed for spread stress context</t>
        </is>
      </c>
      <c r="H8" s="21" t="inlineStr">
        <is>
          <t>Offline build</t>
        </is>
      </c>
    </row>
    <row r="9">
      <c r="A9" s="20" t="inlineStr">
        <is>
          <t>Historical baseline raw</t>
        </is>
      </c>
      <c r="B9" s="20" t="inlineStr">
        <is>
          <t>VB06</t>
        </is>
      </c>
      <c r="C9" s="21" t="inlineStr">
        <is>
          <t>Same-bucket spread stdev</t>
        </is>
      </c>
      <c r="D9" s="21" t="inlineStr">
        <is>
          <t>bps</t>
        </is>
      </c>
      <c r="E9" s="21" t="inlineStr">
        <is>
          <t>Liquidity dispersion baseline</t>
        </is>
      </c>
      <c r="F9" s="21" t="inlineStr">
        <is>
          <t>offline historical quote store</t>
        </is>
      </c>
      <c r="G9" s="21" t="inlineStr">
        <is>
          <t>Supports spread anomaly logic</t>
        </is>
      </c>
      <c r="H9" s="21" t="inlineStr">
        <is>
          <t>Offline build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4" customWidth="1" min="4" max="4"/>
    <col width="20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Playbook Module Audit</t>
        </is>
      </c>
    </row>
    <row r="2">
      <c r="A2" t="inlineStr">
        <is>
          <t>Current branch audit of which playbooks stay, which need richer options evidence, and which new options-first families were added now.</t>
        </is>
      </c>
    </row>
    <row r="3">
      <c r="A3" s="15" t="inlineStr">
        <is>
          <t>Playbook_ID</t>
        </is>
      </c>
      <c r="B3" s="15" t="inlineStr">
        <is>
          <t>Current Status</t>
        </is>
      </c>
      <c r="C3" s="15" t="inlineStr">
        <is>
          <t>Action Now</t>
        </is>
      </c>
      <c r="D3" s="15" t="inlineStr">
        <is>
          <t>Primary Data Families</t>
        </is>
      </c>
      <c r="E3" s="15" t="inlineStr">
        <is>
          <t>Needs Rewrite?</t>
        </is>
      </c>
      <c r="F3" s="15" t="inlineStr">
        <is>
          <t>Current Verdict</t>
        </is>
      </c>
      <c r="G3" s="15" t="inlineStr">
        <is>
          <t>Notes</t>
        </is>
      </c>
      <c r="H3" s="15" t="inlineStr">
        <is>
          <t>Priority</t>
        </is>
      </c>
    </row>
    <row r="4">
      <c r="A4" s="20" t="inlineStr">
        <is>
          <t>continuation_ladder</t>
        </is>
      </c>
      <c r="B4" s="20" t="inlineStr">
        <is>
          <t>existing</t>
        </is>
      </c>
      <c r="C4" s="21" t="inlineStr">
        <is>
          <t>keep</t>
        </is>
      </c>
      <c r="D4" s="21" t="inlineStr">
        <is>
          <t>temporal + regime + posture + basic options veto</t>
        </is>
      </c>
      <c r="E4" s="21" t="inlineStr">
        <is>
          <t>No</t>
        </is>
      </c>
      <c r="F4" s="21" t="inlineStr">
        <is>
          <t>leave in place</t>
        </is>
      </c>
      <c r="G4" s="21" t="inlineStr">
        <is>
          <t>Trend ladder remains valid; richer options stay a confirmer/veto layer rather than the main engine</t>
        </is>
      </c>
      <c r="H4" s="21" t="inlineStr">
        <is>
          <t>P2</t>
        </is>
      </c>
    </row>
    <row r="5">
      <c r="A5" s="20" t="inlineStr">
        <is>
          <t>compression_breakout</t>
        </is>
      </c>
      <c r="B5" s="20" t="inlineStr">
        <is>
          <t>existing</t>
        </is>
      </c>
      <c r="C5" s="21" t="inlineStr">
        <is>
          <t>update inputs</t>
        </is>
      </c>
      <c r="D5" s="21" t="inlineStr">
        <is>
          <t>temporal + quote-liquidity + volume baseline + supportive options</t>
        </is>
      </c>
      <c r="E5" s="21" t="inlineStr">
        <is>
          <t>Partial input upgrade only</t>
        </is>
      </c>
      <c r="F5" s="21" t="inlineStr">
        <is>
          <t>leave in place with richer inputs later</t>
        </is>
      </c>
      <c r="G5" s="21" t="inlineStr">
        <is>
          <t>Needs true historical same-bucket volume/spread baseline to reduce false breakouts</t>
        </is>
      </c>
      <c r="H5" s="21" t="inlineStr">
        <is>
          <t>P1</t>
        </is>
      </c>
    </row>
    <row r="6">
      <c r="A6" s="20" t="inlineStr">
        <is>
          <t>pin_reversion</t>
        </is>
      </c>
      <c r="B6" s="20" t="inlineStr">
        <is>
          <t>existing</t>
        </is>
      </c>
      <c r="C6" s="21" t="inlineStr">
        <is>
          <t>update inputs</t>
        </is>
      </c>
      <c r="D6" s="21" t="inlineStr">
        <is>
          <t>front-expiry raw chain + strike clustering + pin progression</t>
        </is>
      </c>
      <c r="E6" s="21" t="inlineStr">
        <is>
          <t>Partial input upgrade only</t>
        </is>
      </c>
      <c r="F6" s="21" t="inlineStr">
        <is>
          <t>leave in place with richer chain evidence</t>
        </is>
      </c>
      <c r="G6" s="21" t="inlineStr">
        <is>
          <t>Concept remains correct; raw chain preservation improves pin-confidence and magnet logic</t>
        </is>
      </c>
      <c r="H6" s="21" t="inlineStr">
        <is>
          <t>P1</t>
        </is>
      </c>
    </row>
    <row r="7">
      <c r="A7" s="20" t="inlineStr">
        <is>
          <t>negative_gamma_flush</t>
        </is>
      </c>
      <c r="B7" s="20" t="inlineStr">
        <is>
          <t>existing</t>
        </is>
      </c>
      <c r="C7" s="21" t="inlineStr">
        <is>
          <t>keep</t>
        </is>
      </c>
      <c r="D7" s="21" t="inlineStr">
        <is>
          <t>options flow + regime stress + repeated snapshots</t>
        </is>
      </c>
      <c r="E7" s="21" t="inlineStr">
        <is>
          <t>No</t>
        </is>
      </c>
      <c r="F7" s="21" t="inlineStr">
        <is>
          <t>leave in place</t>
        </is>
      </c>
      <c r="G7" s="21" t="inlineStr">
        <is>
          <t>Already options-aware; benefits from richer raw chain but does not need a rewrite now</t>
        </is>
      </c>
      <c r="H7" s="21" t="inlineStr">
        <is>
          <t>P2</t>
        </is>
      </c>
    </row>
    <row r="8">
      <c r="A8" s="20" t="inlineStr">
        <is>
          <t>front_expiry_pin_pressure</t>
        </is>
      </c>
      <c r="B8" s="20" t="inlineStr">
        <is>
          <t>new on branch</t>
        </is>
      </c>
      <c r="C8" s="21" t="inlineStr">
        <is>
          <t>added now</t>
        </is>
      </c>
      <c r="D8" s="21" t="inlineStr">
        <is>
          <t>dense front-expiry raw chain + pin progression + spread sanity</t>
        </is>
      </c>
      <c r="E8" s="21" t="inlineStr">
        <is>
          <t>New playbook added</t>
        </is>
      </c>
      <c r="F8" s="21" t="inlineStr">
        <is>
          <t>keep</t>
        </is>
      </c>
      <c r="G8" s="21" t="inlineStr">
        <is>
          <t>Options-first family specifically for front-expiry pin build/stability/release</t>
        </is>
      </c>
      <c r="H8" s="21" t="inlineStr">
        <is>
          <t>P1</t>
        </is>
      </c>
    </row>
    <row r="9">
      <c r="A9" s="20" t="inlineStr">
        <is>
          <t>term_structure_dislocation</t>
        </is>
      </c>
      <c r="B9" s="20" t="inlineStr">
        <is>
          <t>new on branch</t>
        </is>
      </c>
      <c r="C9" s="21" t="inlineStr">
        <is>
          <t>added now</t>
        </is>
      </c>
      <c r="D9" s="21" t="inlineStr">
        <is>
          <t>raw chain across front and next expiry</t>
        </is>
      </c>
      <c r="E9" s="21" t="inlineStr">
        <is>
          <t>New playbook added</t>
        </is>
      </c>
      <c r="F9" s="21" t="inlineStr">
        <is>
          <t>keep</t>
        </is>
      </c>
      <c r="G9" s="21" t="inlineStr">
        <is>
          <t>Options-first family for front-loaded or back-loaded dislocation</t>
        </is>
      </c>
      <c r="H9" s="21" t="inlineStr">
        <is>
          <t>P1</t>
        </is>
      </c>
    </row>
    <row r="10">
      <c r="A10" s="20" t="inlineStr">
        <is>
          <t>skew_pressure_transition</t>
        </is>
      </c>
      <c r="B10" s="20" t="inlineStr">
        <is>
          <t>new on branch</t>
        </is>
      </c>
      <c r="C10" s="21" t="inlineStr">
        <is>
          <t>added now</t>
        </is>
      </c>
      <c r="D10" s="21" t="inlineStr">
        <is>
          <t>raw chain skew + call/put participation split</t>
        </is>
      </c>
      <c r="E10" s="21" t="inlineStr">
        <is>
          <t>New playbook added</t>
        </is>
      </c>
      <c r="F10" s="21" t="inlineStr">
        <is>
          <t>keep</t>
        </is>
      </c>
      <c r="G10" s="21" t="inlineStr">
        <is>
          <t>Options-first family for downside-hedging or upside-chase pressure transitions</t>
        </is>
      </c>
      <c r="H10" s="21" t="inlineStr">
        <is>
          <t>P1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8" customWidth="1" min="3" max="3"/>
    <col width="62" customWidth="1" min="4" max="4"/>
  </cols>
  <sheetData>
    <row r="1">
      <c r="A1" s="70" t="inlineStr">
        <is>
          <t>Gate 41-44 execution summary</t>
        </is>
      </c>
      <c r="B1" s="21" t="n"/>
      <c r="C1" s="21" t="n"/>
      <c r="D1" s="21" t="n"/>
    </row>
    <row r="2">
      <c r="A2" s="21" t="n"/>
      <c r="B2" s="21" t="n"/>
      <c r="C2" s="21" t="n"/>
      <c r="D2" s="21" t="n"/>
    </row>
    <row r="3">
      <c r="A3" s="71" t="inlineStr">
        <is>
          <t>Gate</t>
        </is>
      </c>
      <c r="B3" s="71" t="inlineStr">
        <is>
          <t>Status</t>
        </is>
      </c>
      <c r="C3" s="71" t="inlineStr">
        <is>
          <t>Closed scope</t>
        </is>
      </c>
      <c r="D3" s="71" t="inlineStr">
        <is>
          <t>Primary artefacts</t>
        </is>
      </c>
    </row>
    <row r="4">
      <c r="A4" s="21" t="inlineStr">
        <is>
          <t>Gate 41</t>
        </is>
      </c>
      <c r="B4" s="21" t="inlineStr">
        <is>
          <t>Complete</t>
        </is>
      </c>
      <c r="C4" s="21" t="inlineStr">
        <is>
          <t>Split raw primitives from derived features and froze workbook authority.</t>
        </is>
      </c>
      <c r="D4" s="21" t="inlineStr">
        <is>
          <t>Raw_Primitives_Catalog; Derived_Features_Catalog; Playbook_Module_Audit</t>
        </is>
      </c>
    </row>
    <row r="5">
      <c r="A5" s="21" t="inlineStr">
        <is>
          <t>Gate 42</t>
        </is>
      </c>
      <c r="B5" s="21" t="inlineStr">
        <is>
          <t>Complete</t>
        </is>
      </c>
      <c r="C5" s="21" t="inlineStr">
        <is>
          <t>Defined dense front-expiry options capture and same-bucket volume baseline policy.</t>
        </is>
      </c>
      <c r="D5" s="21" t="inlineStr">
        <is>
          <t>Options_Chain_Raw_Spec; Volume_Baseline_Raw_Spec</t>
        </is>
      </c>
    </row>
    <row r="6">
      <c r="A6" s="21" t="inlineStr">
        <is>
          <t>Gate 43</t>
        </is>
      </c>
      <c r="B6" s="21" t="inlineStr">
        <is>
          <t>Complete</t>
        </is>
      </c>
      <c r="C6" s="21" t="inlineStr">
        <is>
          <t>Added three options-first playbooks: front_expiry_pin_pressure, term_structure_dislocation, skew_pressure_reversal.</t>
        </is>
      </c>
      <c r="D6" s="21" t="inlineStr">
        <is>
          <t>config/playbook_registry.example.yaml; tests/test_gate43_options_playbook_expansion.py</t>
        </is>
      </c>
    </row>
    <row r="7">
      <c r="A7" s="21" t="inlineStr">
        <is>
          <t>Gate 44</t>
        </is>
      </c>
      <c r="B7" s="21" t="inlineStr">
        <is>
          <t>Complete</t>
        </is>
      </c>
      <c r="C7" s="21" t="inlineStr">
        <is>
          <t>Confirmed DMP payload stability and recorded playbook-family audit.</t>
        </is>
      </c>
      <c r="D7" s="21" t="inlineStr">
        <is>
          <t>tests/test_dmp_protocol.py; tests/test_dmp_v2_protocol.py; Playbook_Module_Audit</t>
        </is>
      </c>
    </row>
    <row r="8">
      <c r="A8" s="21" t="n"/>
      <c r="B8" s="21" t="n"/>
      <c r="C8" s="21" t="n"/>
      <c r="D8" s="21" t="n"/>
    </row>
    <row r="9">
      <c r="A9" s="21" t="n"/>
      <c r="B9" s="21" t="n"/>
      <c r="C9" s="21" t="n"/>
      <c r="D9" s="21" t="n"/>
    </row>
    <row r="10">
      <c r="A10" s="72" t="inlineStr">
        <is>
          <t>Playbook family verdicts</t>
        </is>
      </c>
      <c r="B10" s="21" t="n"/>
      <c r="C10" s="21" t="n"/>
      <c r="D10" s="21" t="n"/>
    </row>
    <row r="11">
      <c r="A11" s="21" t="inlineStr">
        <is>
          <t>Keep as-is</t>
        </is>
      </c>
      <c r="B11" s="21" t="inlineStr">
        <is>
          <t>continuation_ladder; negative_gamma_flush</t>
        </is>
      </c>
      <c r="C11" s="21" t="n"/>
      <c r="D11" s="21" t="n"/>
    </row>
    <row r="12">
      <c r="A12" s="21" t="inlineStr">
        <is>
          <t>Keep, richer inputs later</t>
        </is>
      </c>
      <c r="B12" s="21" t="inlineStr">
        <is>
          <t>compression_breakout; pin_reversion</t>
        </is>
      </c>
      <c r="C12" s="21" t="n"/>
      <c r="D12" s="21" t="n"/>
    </row>
    <row r="13">
      <c r="A13" s="21" t="inlineStr">
        <is>
          <t>Added now</t>
        </is>
      </c>
      <c r="B13" s="21" t="inlineStr">
        <is>
          <t>front_expiry_pin_pressure; term_structure_dislocation; skew_pressure_reversal</t>
        </is>
      </c>
      <c r="C13" s="21" t="n"/>
      <c r="D13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2026-03-25T08:48:33Z</dcterms:created>
  <dcterms:modified xmlns:dcterms="http://purl.org/dc/terms/" xmlns:xsi="http://www.w3.org/2001/XMLSchema-instance" xsi:type="dcterms:W3CDTF">2026-03-25T08:48:33Z</dcterms:modified>
</cp:coreProperties>
</file>
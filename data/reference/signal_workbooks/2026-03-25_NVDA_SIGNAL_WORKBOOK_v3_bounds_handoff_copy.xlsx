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1cc2912be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0fd4e4d6f344391"/>
    <x:sheet xmlns:r="http://schemas.openxmlformats.org/officeDocument/2006/relationships" name="Controls" sheetId="2" r:id="Rb295738c8a38442a"/>
    <x:sheet xmlns:r="http://schemas.openxmlformats.org/officeDocument/2006/relationships" name="Scenario_Packs" sheetId="3" r:id="Rc2c32886dddf4f4d"/>
    <x:sheet xmlns:r="http://schemas.openxmlformats.org/officeDocument/2006/relationships" name="Raw_Catalog" sheetId="4" r:id="R52123986d1394cf2"/>
    <x:sheet xmlns:r="http://schemas.openxmlformats.org/officeDocument/2006/relationships" name="Anchor_Data" sheetId="5" r:id="R12ac3dcb11f84941"/>
    <x:sheet xmlns:r="http://schemas.openxmlformats.org/officeDocument/2006/relationships" name="Live_Web_Baseline" sheetId="6" r:id="Ra0ff0a303dd04d6e"/>
    <x:sheet xmlns:r="http://schemas.openxmlformats.org/officeDocument/2006/relationships" name="Synthetic_Raw" sheetId="7" r:id="Re7e406ea50264482"/>
    <x:sheet xmlns:r="http://schemas.openxmlformats.org/officeDocument/2006/relationships" name="Derived_Beta_Leadership" sheetId="8" r:id="R718b3f5f76564b54"/>
    <x:sheet xmlns:r="http://schemas.openxmlformats.org/officeDocument/2006/relationships" name="Derived_Vol_Rates_FX" sheetId="9" r:id="R33c87539cfb548c3"/>
    <x:sheet xmlns:r="http://schemas.openxmlformats.org/officeDocument/2006/relationships" name="Derived_Execution_Options" sheetId="10" r:id="R9b9c5ecbe02f47ca"/>
    <x:sheet xmlns:r="http://schemas.openxmlformats.org/officeDocument/2006/relationships" name="Derived_Asia_Breadth" sheetId="11" r:id="Raa1972ed46154f84"/>
    <x:sheet xmlns:r="http://schemas.openxmlformats.org/officeDocument/2006/relationships" name="Test_Use_Cases" sheetId="12" r:id="R34a9e47eb30e40a1"/>
    <x:sheet xmlns:r="http://schemas.openxmlformats.org/officeDocument/2006/relationships" name="Temporal_Step1_Framework" sheetId="13" r:id="Rcf421c4b82f84db3"/>
    <x:sheet xmlns:r="http://schemas.openxmlformats.org/officeDocument/2006/relationships" name="Temporal_Step1_Tests" sheetId="14" r:id="Rbff71e5975254a7f"/>
    <x:sheet xmlns:r="http://schemas.openxmlformats.org/officeDocument/2006/relationships" name="Raw_Primitives_Catalog" sheetId="15" r:id="R7cda482ac64b44d6"/>
    <x:sheet xmlns:r="http://schemas.openxmlformats.org/officeDocument/2006/relationships" name="Derived_Features_Catalog" sheetId="16" r:id="Rfc90758b481646e4"/>
    <x:sheet xmlns:r="http://schemas.openxmlformats.org/officeDocument/2006/relationships" name="Options_Chain_Raw_Spec" sheetId="17" r:id="R4ce9f16255b74c58"/>
    <x:sheet xmlns:r="http://schemas.openxmlformats.org/officeDocument/2006/relationships" name="Volume_Baseline_Raw_Spec" sheetId="18" r:id="R5d7a3030b7244be7"/>
    <x:sheet xmlns:r="http://schemas.openxmlformats.org/officeDocument/2006/relationships" name="Playbook_Module_Audit" sheetId="19" r:id="R9d080c253a0f47e8"/>
    <x:sheet xmlns:r="http://schemas.openxmlformats.org/officeDocument/2006/relationships" name="Gate_41_44_Summary" sheetId="20" r:id="Re875af675e6d4f8d"/>
    <x:sheet xmlns:r="http://schemas.openxmlformats.org/officeDocument/2006/relationships" name="Repo_Python_Inventory" sheetId="21" r:id="Re398cf9ba6ed42d4"/>
    <x:sheet xmlns:r="http://schemas.openxmlformats.org/officeDocument/2006/relationships" name="Repo_Stage_Summary" sheetId="22" r:id="R1d9786c597c34a7e"/>
    <x:sheet xmlns:r="http://schemas.openxmlformats.org/officeDocument/2006/relationships" name="Runtime_Surface_Drivers" sheetId="23" r:id="Redce11407a644250"/>
    <x:sheet xmlns:r="http://schemas.openxmlformats.org/officeDocument/2006/relationships" name="Coeff_Universe_Index" sheetId="24" r:id="R0fa89b289bff4c9e"/>
    <x:sheet xmlns:r="http://schemas.openxmlformats.org/officeDocument/2006/relationships" name="Bounds_Method" sheetId="25" r:id="Rfe7d481aabca4a38"/>
    <x:sheet xmlns:r="http://schemas.openxmlformats.org/officeDocument/2006/relationships" name="Temporal_Bounds_Draft" sheetId="26" r:id="Ra8a7c143afbc40c5"/>
    <x:sheet xmlns:r="http://schemas.openxmlformats.org/officeDocument/2006/relationships" name="Signal_Coeff_Handoff" sheetId="27" r:id="Rf0eafcb8e8bd433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4" authorId="0">
      <x:text>
        <x:r>
          <x:t>Synthetic example workbook. Replace Anchor_Data with real coarse anchors later if desired.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Scenario selector. Use 1 Baseline, 2 Stress, 3 Squeeze.</x:t>
        </x:r>
      </x:text>
    </x:comment>
    <x:comment ref="B7" authorId="0">
      <x:text>
        <x:r>
          <x:t>Placeholder for future randomised generator; current workbook keeps deterministic shifts for repeatable regression tests.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Extended on 2026-03-25 to add a dedicated Temporal Step1 raw signal family for the 'where are we now?' problem.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Synthetic example only.
Suggested anchor sources if replaced later:
https://fred.stlouisfed.org
https://www.cboe.com/tradable-products/vix/vix-historical-data/</x:t>
        </x:r>
      </x:text>
    </x:comment>
    <x:comment ref="M4" authorId="0">
      <x:text>
        <x:r>
          <x:t>VIX/VVIX/VIX9D/SKEW can be anchored later from Cboe historical datasets.</x:t>
        </x:r>
      </x:text>
    </x:comment>
    <x:comment ref="Q4" authorId="0">
      <x:text>
        <x:r>
          <x:t>Rates can be anchored later from FRED (e.g., DGS10, DGS2).</x:t>
        </x:r>
      </x:text>
    </x:comment>
    <x:comment ref="B7" authorId="0">
      <x:text>
        <x:r>
          <x:t>https://www.macrotrends.net/stocks/charts/NVDA/nvidia/stock-price-history/1000
Latest close as of 2026-03-11.</x:t>
        </x:r>
      </x:text>
    </x:comment>
    <x:comment ref="C7" authorId="0">
      <x:text>
        <x:r>
          <x:t>https://www.macrotrends.net/stocks/charts/NVDA/nvidia/stock-price-history/1000
2026 YTD high as of 2026-03-11.</x:t>
        </x:r>
      </x:text>
    </x:comment>
    <x:comment ref="D7" authorId="0">
      <x:text>
        <x:r>
          <x:t>https://www.macrotrends.net/stocks/charts/NVDA/nvidia/stock-price-history/1000
2026 YTD low as of 2026-03-11.</x:t>
        </x:r>
      </x:text>
    </x:comment>
    <x:comment ref="E7" authorId="0">
      <x:text>
        <x:r>
          <x:t>Synthetic placeholder volume; public volume baseline not loaded in this pass.</x:t>
        </x:r>
      </x:text>
    </x:comment>
    <x:comment ref="F7" authorId="0">
      <x:text>
        <x:r>
          <x:t>https://fred.stlouisfed.org/series/SP500
S&amp;P 500 used as ES proxy on 2026-03-20.</x:t>
        </x:r>
      </x:text>
    </x:comment>
    <x:comment ref="G7" authorId="0">
      <x:text>
        <x:r>
          <x:t>https://fred.stlouisfed.org/series/NASDAQ100
NASDAQ-100 used as NQ proxy on 2026-03-20.</x:t>
        </x:r>
      </x:text>
    </x:comment>
    <x:comment ref="H7" authorId="0">
      <x:text>
        <x:r>
          <x:t>https://stockanalysis.com/etf/xlk/history/
XLK close on 2026-03-11.</x:t>
        </x:r>
      </x:text>
    </x:comment>
    <x:comment ref="I7" authorId="0">
      <x:text>
        <x:r>
          <x:t>https://ph.investing.com/indices/phlx-semiconductor-historical-data
SOX close on 2026-03-11.</x:t>
        </x:r>
      </x:text>
    </x:comment>
    <x:comment ref="J7" authorId="0">
      <x:text>
        <x:r>
          <x:t>https://tradingeconomics.com/japan/stock-market/news/524510
Nikkei close on 2026-03-12.</x:t>
        </x:r>
      </x:text>
    </x:comment>
    <x:comment ref="K7" authorId="0">
      <x:text>
        <x:r>
          <x:t>https://www.china.org.cn/china/Off_the_Wire/2026-03/05/content_118363763.shtml
Hang Seng close on 2026-03-05.</x:t>
        </x:r>
      </x:text>
    </x:comment>
    <x:comment ref="L7" authorId="0">
      <x:text>
        <x:r>
          <x:t>https://www.china.org.cn/china/Off_the_Wire/2026-03/05/content_118363763.shtml
Hang Seng Tech close on 2026-03-05.</x:t>
        </x:r>
      </x:text>
    </x:comment>
    <x:comment ref="M7" authorId="0">
      <x:text>
        <x:r>
          <x:t>https://www.cboe.com/tradable-products/vix
VIX prev close on 2026-03-18.</x:t>
        </x:r>
      </x:text>
    </x:comment>
    <x:comment ref="N7" authorId="0">
      <x:text>
        <x:r>
          <x:t>https://finance.yahoo.com/quote/%5EVVIX/
VVIX delayed quote close on 2026-03-06.</x:t>
        </x:r>
      </x:text>
    </x:comment>
    <x:comment ref="O7" authorId="0">
      <x:text>
        <x:r>
          <x:t>https://www.investing.com/indices/s-p-500-9day-volatility-historical-data
VIX9D close on 2026-03-11.</x:t>
        </x:r>
      </x:text>
    </x:comment>
    <x:comment ref="P7" authorId="0">
      <x:text>
        <x:r>
          <x:t>https://ycharts.com/indicators/skew_index
SKEW close on 2026-03-11.</x:t>
        </x:r>
      </x:text>
    </x:comment>
    <x:comment ref="Q7" authorId="0">
      <x:text>
        <x:r>
          <x:t>https://fred.stlouisfed.org/series/DGS10
10Y yield on 2026-03-19 converted to bp.</x:t>
        </x:r>
      </x:text>
    </x:comment>
    <x:comment ref="R7" authorId="0">
      <x:text>
        <x:r>
          <x:t>https://fred.stlouisfed.org/series/DGS2
2Y yield on 2026-03-19 converted to bp.</x:t>
        </x:r>
      </x:text>
    </x:comment>
    <x:comment ref="S7" authorId="0">
      <x:text>
        <x:r>
          <x:t>https://fred.stlouisfed.org/series/DEXJPUS
USDJPY on 2026-03-13.</x:t>
        </x:r>
      </x:text>
    </x:comment>
    <x:comment ref="T7" authorId="0">
      <x:text>
        <x:r>
          <x:t>Synthetic placeholder retained in this pass; no live public baseline loaded for this field.</x:t>
        </x:r>
      </x:text>
    </x:comment>
    <x:comment ref="U7" authorId="0">
      <x:text>
        <x:r>
          <x:t>Synthetic placeholder retained in this pass; no live public baseline loaded for this field.</x:t>
        </x:r>
      </x:text>
    </x:comment>
    <x:comment ref="V7" authorId="0">
      <x:text>
        <x:r>
          <x:t>Synthetic placeholder retained in this pass; no live public baseline loaded for this field.</x:t>
        </x:r>
      </x:text>
    </x:comment>
    <x:comment ref="W7" authorId="0">
      <x:text>
        <x:r>
          <x:t>Synthetic placeholder retained in this pass; no live public baseline loaded for this field.</x:t>
        </x:r>
      </x:text>
    </x:comment>
    <x:comment ref="X7" authorId="0">
      <x:text>
        <x:r>
          <x:t>Synthetic placeholder retained in this pass; no live public baseline loaded for this field.</x:t>
        </x:r>
      </x:text>
    </x:comment>
    <x:comment ref="Y7" authorId="0">
      <x:text>
        <x:r>
          <x:t>Synthetic placeholder retained in this pass; no live public baseline loaded for this field.</x:t>
        </x:r>
      </x:text>
    </x:comment>
    <x:comment ref="Z7" authorId="0">
      <x:text>
        <x:r>
          <x:t>Synthetic placeholder retained in this pass; no live public baseline loaded for this field.</x:t>
        </x:r>
      </x:text>
    </x:comment>
    <x:comment ref="AA7" authorId="0">
      <x:text>
        <x:r>
          <x:t>Synthetic placeholder retained in this pass; no live public baseline loaded for this field.</x:t>
        </x:r>
      </x:text>
    </x:comment>
    <x:comment ref="AB7" authorId="0">
      <x:text>
        <x:r>
          <x:t>Synthetic placeholder retained in this pass; no live public baseline loaded for this field.</x:t>
        </x:r>
      </x:text>
    </x:comment>
    <x:comment ref="AC7" authorId="0">
      <x:text>
        <x:r>
          <x:t>Synthetic placeholder retained in this pass; no live public baseline loaded for this field.</x:t>
        </x:r>
      </x:text>
    </x:comment>
    <x:comment ref="AD7" authorId="0">
      <x:text>
        <x:r>
          <x:t>Synthetic placeholder retained in this pass; no live public baseline loaded for this field.</x:t>
        </x:r>
      </x:text>
    </x:comment>
    <x:comment ref="AE7" authorId="0">
      <x:text>
        <x:r>
          <x:t>Synthetic placeholder retained in this pass; no live public baseline loaded for this field.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Formula-driven scenario layer. Useful for regression tests before building a full stochastic generator.</x:t>
        </x:r>
      </x:text>
    </x:comment>
  </x:commentList>
</x:comments>
</file>

<file path=xl/comments6.xml><?xml version="1.0" encoding="utf-8"?>
<x:comments xmlns:x="http://schemas.openxmlformats.org/spreadsheetml/2006/main">
  <x:authors>
    <x:author>OpenAI</x:author>
  </x:authors>
  <x:commentList>
    <x:comment ref="J3" authorId="0">
      <x:text>
        <x:r>
          <x:t>Squeeze_Proxy is a simple test harness composite, not a production signal.</x:t>
        </x:r>
      </x:text>
    </x:comment>
  </x:commentList>
</x:comments>
</file>

<file path=xl/comments7.xml><?xml version="1.0" encoding="utf-8"?>
<x:comments xmlns:x="http://schemas.openxmlformats.org/spreadsheetml/2006/main">
  <x:authors>
    <x:author>OpenAI</x:author>
  </x:authors>
  <x:commentList>
    <x:comment ref="H4" authorId="0">
      <x:text>
        <x:r>
          <x:t>Signals motivated by market microstructure evidence on strong open/close volume and spread concentration, plus practical VWAP/volume-seasonality execution logic. Sources used in accompanying note / final response: NYSE auction timelines; SSRN/NASDAQ intraday U-shape paper; VWAP volume-model paper.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mmm yyyy"/>
    <x:numFmt numFmtId="165" formatCode="0.0"/>
    <x:numFmt numFmtId="166" formatCode="0.0%"/>
    <x:numFmt numFmtId="167" formatCode="yyyy-mm-dd hh:mm:ss"/>
    <x:numFmt numFmtId="168" formatCode="yyyy-mm-dd"/>
  </x:numFmts>
  <x:fonts count="14">
    <x:font>
      <x:sz val="11"/>
      <x:color theme="1"/>
      <x:name val="Calibri"/>
    </x:font>
    <x:font>
      <x:b/>
      <x:color rgb="FFFFFF"/>
    </x:font>
    <x:font>
      <x:b/>
    </x:font>
    <x:font>
      <x:color rgb="0000FF"/>
    </x:font>
    <x:font>
      <x:color rgb="000000"/>
    </x:font>
    <x:font>
      <x:color rgb="666666"/>
    </x:font>
    <x:font>
      <x:i/>
      <x:color rgb="C55A11"/>
    </x:font>
    <x:font>
      <x:i/>
      <x:color rgb="666666"/>
    </x:font>
    <x:font>
      <x:b/>
      <x:sz val="14"/>
    </x:font>
    <x:font>
      <x:b/>
      <x:sz val="13"/>
      <x:color theme="0"/>
      <x:name val="Calibri"/>
    </x:font>
    <x:font>
      <x:i/>
      <x:sz val="11"/>
      <x:color theme="1"/>
      <x:name val="Calibri"/>
    </x:font>
    <x:font>
      <x:b/>
      <x:sz val="11"/>
      <x:color theme="0"/>
      <x:name val="Calibri"/>
    </x:font>
    <x:font>
      <x:b/>
      <x:sz val="11"/>
      <x:color theme="1"/>
      <x:name val="Calibri"/>
    </x:font>
    <x:font>
      <x:b/>
      <x:sz val="16"/>
      <x:color theme="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F"/>
      </x:patternFill>
    </x:fill>
    <x:fill>
      <x:patternFill patternType="solid">
        <x:fgColor rgb="FFFFFF"/>
      </x:patternFill>
    </x:fill>
    <x:fill>
      <x:patternFill patternType="solid">
        <x:fgColor rgb="FFF2CC"/>
      </x:patternFill>
    </x:fill>
    <x:fill>
      <x:patternFill patternType="solid">
        <x:fgColor rgb="D9E1F2"/>
      </x:patternFill>
    </x:fill>
    <x:fill>
      <x:patternFill patternType="solid">
        <x:fgColor rgb="D9EAF7"/>
      </x:patternFill>
    </x:fill>
    <x:fill>
      <x:patternFill patternType="solid">
        <x:fgColor theme="4"/>
      </x:patternFill>
    </x:fill>
    <x:fill>
      <x:patternFill patternType="solid">
        <x:fgColor theme="2"/>
      </x:patternFill>
    </x:fill>
    <x:fill>
      <x:patternFill patternType="solid">
        <x:fgColor theme="5"/>
      </x:patternFill>
    </x:fill>
  </x:fills>
  <x:borders count="9"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</x:border>
    <x:border>
      <x:right style="thin">
        <x:color rgb="D1D5DB"/>
      </x:right>
    </x:border>
    <x:border>
      <x:left style="thin">
        <x:color rgb="D1D5DB"/>
      </x:left>
      <x:bottom style="thin">
        <x:color rgb="D1D5DB"/>
      </x:bottom>
    </x:border>
    <x:border>
      <x:bottom style="thin">
        <x:color rgb="D1D5DB"/>
      </x:bottom>
    </x:border>
    <x:border>
      <x:right style="thin">
        <x:color rgb="D1D5DB"/>
      </x:right>
      <x:bottom style="thin">
        <x:color rgb="D1D5DB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1" fillId="2" borderId="0" xfId="0" applyAlignment="1">
      <x:alignment horizontal="left"/>
    </x:xf>
    <x:xf numFmtId="0" fontId="2" fillId="0" borderId="0" xfId="0"/>
    <x:xf numFmtId="0" fontId="0" fillId="0" borderId="0" xfId="0" applyAlignment="1">
      <x:alignment wrapText="1"/>
    </x:xf>
    <x:xf numFmtId="0" fontId="2" fillId="0" borderId="0" xfId="0" applyAlignment="1">
      <x:alignment vertical="center"/>
    </x:xf>
    <x:xf numFmtId="0" fontId="0" fillId="0" borderId="0" xfId="0" applyAlignment="1">
      <x:alignment vertical="center"/>
    </x:xf>
    <x:xf numFmtId="0" fontId="3" fillId="3" borderId="0" xfId="0"/>
    <x:xf numFmtId="164" fontId="3" fillId="3" borderId="0" xfId="0"/>
    <x:xf numFmtId="0" fontId="0" fillId="5" borderId="0" xfId="0" applyAlignment="1">
      <x:alignment wrapText="1"/>
    </x:xf>
    <x:xf numFmtId="164" fontId="3" fillId="3" borderId="0" xfId="0" applyAlignment="1">
      <x:alignment vertical="center"/>
    </x:xf>
    <x:xf numFmtId="0" fontId="3" fillId="6" borderId="0" xfId="0" applyAlignment="1">
      <x:alignment vertical="center"/>
    </x:xf>
    <x:xf numFmtId="0" fontId="4" fillId="6" borderId="0" xfId="0" applyAlignment="1">
      <x:alignment vertical="center"/>
    </x:xf>
    <x:xf numFmtId="0" fontId="3" fillId="3" borderId="0" xfId="0" applyAlignment="1">
      <x:alignment vertical="center"/>
    </x:xf>
    <x:xf numFmtId="0" fontId="4" fillId="0" borderId="0" xfId="0" applyAlignment="1">
      <x:alignment vertical="center"/>
    </x:xf>
    <x:xf numFmtId="0" fontId="5" fillId="0" borderId="0" xfId="0" applyAlignment="1">
      <x:alignment vertical="center"/>
    </x:xf>
    <x:xf numFmtId="0" fontId="1" fillId="2" borderId="0" xfId="0" applyAlignment="1">
      <x:alignment horizontal="center" vertical="center" wrapText="1"/>
    </x:xf>
    <x:xf numFmtId="0" fontId="3" fillId="0" borderId="0" xfId="0"/>
    <x:xf numFmtId="2" fontId="3" fillId="0" borderId="0" xfId="0"/>
    <x:xf numFmtId="0" fontId="3" fillId="0" borderId="0" xfId="0" applyAlignment="1">
      <x:alignment vertical="center"/>
    </x:xf>
    <x:xf numFmtId="2" fontId="3" fillId="0" borderId="0" xfId="0" applyAlignment="1">
      <x:alignment vertical="center"/>
    </x:xf>
    <x:xf numFmtId="0" fontId="5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6" fillId="0" borderId="0" xfId="0" applyAlignment="1">
      <x:alignment vertical="center"/>
    </x:xf>
    <x:xf numFmtId="164" fontId="3" fillId="0" borderId="0" xfId="0" applyAlignment="1">
      <x:alignment vertical="center"/>
    </x:xf>
    <x:xf numFmtId="165" fontId="3" fillId="0" borderId="0" xfId="0" applyAlignment="1">
      <x:alignment vertical="center"/>
    </x:xf>
    <x:xf numFmtId="1" fontId="3" fillId="0" borderId="0" xfId="0" applyAlignment="1">
      <x:alignment vertical="center"/>
    </x:xf>
    <x:xf numFmtId="166" fontId="3" fillId="0" borderId="0" xfId="0" applyAlignment="1">
      <x:alignment vertical="center"/>
    </x:xf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  <x:xf numFmtId="1" fontId="0" fillId="0" borderId="0" xfId="0" applyAlignment="1">
      <x:alignment vertical="center"/>
    </x:xf>
    <x:xf numFmtId="166" fontId="0" fillId="0" borderId="0" xfId="0" applyAlignment="1">
      <x:alignment vertical="center"/>
    </x:xf>
    <x:xf numFmtId="2" fontId="0" fillId="0" borderId="0" xfId="0" applyAlignment="1">
      <x:alignment vertical="center"/>
    </x:xf>
    <x:xf numFmtId="2" fontId="0" fillId="0" borderId="0" xfId="0"/>
    <x:xf numFmtId="164" fontId="0" fillId="0" borderId="0" xfId="0"/>
    <x:xf numFmtId="166" fontId="0" fillId="0" borderId="0" xfId="0"/>
    <x:xf numFmtId="166" fontId="0" fillId="6" borderId="0" xfId="0"/>
    <x:xf numFmtId="166" fontId="0" fillId="6" borderId="0" xfId="0" applyAlignment="1">
      <x:alignment vertical="center"/>
    </x:xf>
    <x:xf numFmtId="165" fontId="0" fillId="0" borderId="0" xfId="0"/>
    <x:xf numFmtId="1" fontId="0" fillId="0" borderId="0" xfId="0"/>
    <x:xf numFmtId="2" fontId="0" fillId="6" borderId="0" xfId="0"/>
    <x:xf numFmtId="2" fontId="0" fillId="6" borderId="0" xfId="0" applyAlignment="1">
      <x:alignment vertical="center"/>
    </x:xf>
    <x:xf numFmtId="164" fontId="3" fillId="3" borderId="0" xfId="0"/>
    <x:xf numFmtId="164" fontId="3" fillId="3" borderId="0" xfId="0" applyAlignment="1">
      <x:alignment vertical="center"/>
    </x:xf>
    <x:xf numFmtId="164" fontId="3" fillId="0" borderId="0" xfId="0" applyAlignment="1">
      <x:alignment vertical="center"/>
    </x:xf>
    <x:xf numFmtId="165" fontId="3" fillId="0" borderId="0" xfId="0" applyAlignment="1">
      <x:alignment vertical="center"/>
    </x:xf>
    <x:xf numFmtId="166" fontId="3" fillId="0" borderId="0" xfId="0" applyAlignment="1">
      <x:alignment vertical="center"/>
    </x:xf>
    <x:xf numFmtId="164" fontId="0" fillId="0" borderId="0" xfId="0" applyAlignment="1">
      <x:alignment vertical="center"/>
    </x:xf>
    <x:xf numFmtId="165" fontId="0" fillId="0" borderId="0" xfId="0" applyAlignment="1">
      <x:alignment vertical="center"/>
    </x:xf>
    <x:xf numFmtId="166" fontId="0" fillId="0" borderId="0" xfId="0" applyAlignment="1">
      <x:alignment vertical="center"/>
    </x:xf>
    <x:xf numFmtId="164" fontId="0" fillId="0" borderId="0" xfId="0"/>
    <x:xf numFmtId="166" fontId="0" fillId="0" borderId="0" xfId="0"/>
    <x:xf numFmtId="166" fontId="0" fillId="6" borderId="0" xfId="0"/>
    <x:xf numFmtId="166" fontId="0" fillId="6" borderId="0" xfId="0" applyAlignment="1">
      <x:alignment vertical="center"/>
    </x:xf>
    <x:xf numFmtId="165" fontId="0" fillId="0" borderId="0" xfId="0"/>
    <x:xf numFmtId="164" fontId="3" fillId="7" borderId="0" xfId="0" applyAlignment="1">
      <x:alignment vertical="center"/>
    </x:xf>
    <x:xf numFmtId="165" fontId="3" fillId="7" borderId="0" xfId="0" applyAlignment="1">
      <x:alignment vertical="center"/>
    </x:xf>
    <x:xf numFmtId="1" fontId="3" fillId="7" borderId="0" xfId="0" applyAlignment="1">
      <x:alignment vertical="center"/>
    </x:xf>
    <x:xf numFmtId="0" fontId="3" fillId="7" borderId="0" xfId="0" applyAlignment="1">
      <x:alignment vertical="center"/>
    </x:xf>
    <x:xf numFmtId="166" fontId="3" fillId="7" borderId="0" xfId="0" applyAlignment="1">
      <x:alignment vertical="center"/>
    </x:xf>
    <x:xf numFmtId="2" fontId="3" fillId="7" borderId="0" xfId="0" applyAlignment="1">
      <x:alignment vertical="center"/>
    </x:xf>
    <x:xf numFmtId="0" fontId="1" fillId="2" borderId="0" xfId="0"/>
    <x:xf numFmtId="0" fontId="7" fillId="0" borderId="0" xfId="0"/>
    <x:xf numFmtId="0" fontId="2" fillId="7" borderId="0" xfId="0"/>
    <x:xf numFmtId="0" fontId="5" fillId="0" borderId="0" xfId="0" applyAlignment="1">
      <x:alignment wrapText="1"/>
    </x:xf>
    <x:xf numFmtId="2" fontId="3" fillId="3" borderId="0" xfId="0" applyAlignment="1">
      <x:alignment vertical="center"/>
    </x:xf>
    <x:xf numFmtId="1" fontId="3" fillId="3" borderId="0" xfId="0" applyAlignment="1">
      <x:alignment vertical="center"/>
    </x:xf>
    <x:xf numFmtId="167" fontId="5" fillId="0" borderId="0" xfId="0" applyAlignment="1">
      <x:alignment vertical="top" wrapText="1"/>
    </x:xf>
    <x:xf numFmtId="168" fontId="5" fillId="0" borderId="0" xfId="0" applyAlignment="1">
      <x:alignment vertical="top" wrapText="1"/>
    </x:xf>
    <x:xf numFmtId="0" fontId="5" fillId="0" borderId="0" xfId="0" applyAlignment="1">
      <x:alignment horizontal="center"/>
    </x:xf>
    <x:xf numFmtId="0" fontId="5" fillId="0" borderId="0" xfId="0" applyAlignment="1">
      <x:alignment vertical="center" wrapText="1"/>
    </x:xf>
    <x:xf numFmtId="0" fontId="8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1" xfId="0" applyNumberFormat="1" applyFont="1" applyFill="1" applyBorder="1"/>
    <x:xf numFmtId="0" fontId="11" fillId="10" borderId="2" xfId="0" applyNumberFormat="1" applyFont="1" applyFill="1" applyBorder="1"/>
    <x:xf numFmtId="0" fontId="11" fillId="10" borderId="3" xfId="0" applyNumberFormat="1" applyFont="1" applyFill="1" applyBorder="1"/>
    <x:xf numFmtId="0" fontId="11" fillId="10" borderId="1" xfId="0" applyNumberFormat="1" applyFont="1" applyFill="1" applyBorder="1" applyAlignment="1">
      <x:alignment wrapText="1"/>
    </x:xf>
    <x:xf numFmtId="0" fontId="11" fillId="10" borderId="2" xfId="0" applyNumberFormat="1" applyFont="1" applyFill="1" applyBorder="1" applyAlignment="1">
      <x:alignment wrapText="1"/>
    </x:xf>
    <x:xf numFmtId="0" fontId="11" fillId="1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8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f67805daa4293" /><Relationship Type="http://schemas.openxmlformats.org/officeDocument/2006/relationships/theme" Target="/xl/theme/theme1.xml" Id="Rb338257f4a714b98" /><Relationship Type="http://schemas.microsoft.com/office/2022/11/relationships/FeaturePropertyBag" Target="/xl/featurePropertyBag/featurePropertyBag.xml" Id="Rfdf64257c3de48d4" /><Relationship Type="http://schemas.openxmlformats.org/officeDocument/2006/relationships/sharedStrings" Target="/xl/sharedStrings.xml" Id="Rbd5bbc82cf5c476a" /><Relationship Type="http://schemas.openxmlformats.org/officeDocument/2006/relationships/worksheet" Target="/xl/worksheets/sheet1.xml" Id="Re0fd4e4d6f344391" /><Relationship Type="http://schemas.openxmlformats.org/officeDocument/2006/relationships/worksheet" Target="/xl/worksheets/sheet2.xml" Id="Rb295738c8a38442a" /><Relationship Type="http://schemas.openxmlformats.org/officeDocument/2006/relationships/worksheet" Target="/xl/worksheets/sheet3.xml" Id="Rc2c32886dddf4f4d" /><Relationship Type="http://schemas.openxmlformats.org/officeDocument/2006/relationships/worksheet" Target="/xl/worksheets/sheet4.xml" Id="R52123986d1394cf2" /><Relationship Type="http://schemas.openxmlformats.org/officeDocument/2006/relationships/worksheet" Target="/xl/worksheets/sheet5.xml" Id="R12ac3dcb11f84941" /><Relationship Type="http://schemas.openxmlformats.org/officeDocument/2006/relationships/worksheet" Target="/xl/worksheets/sheet6.xml" Id="Ra0ff0a303dd04d6e" /><Relationship Type="http://schemas.openxmlformats.org/officeDocument/2006/relationships/worksheet" Target="/xl/worksheets/sheet7.xml" Id="Re7e406ea50264482" /><Relationship Type="http://schemas.openxmlformats.org/officeDocument/2006/relationships/worksheet" Target="/xl/worksheets/sheet8.xml" Id="R718b3f5f76564b54" /><Relationship Type="http://schemas.openxmlformats.org/officeDocument/2006/relationships/worksheet" Target="/xl/worksheets/sheet9.xml" Id="R33c87539cfb548c3" /><Relationship Type="http://schemas.openxmlformats.org/officeDocument/2006/relationships/worksheet" Target="/xl/worksheets/sheet10.xml" Id="R9b9c5ecbe02f47ca" /><Relationship Type="http://schemas.openxmlformats.org/officeDocument/2006/relationships/worksheet" Target="/xl/worksheets/sheet11.xml" Id="Raa1972ed46154f84" /><Relationship Type="http://schemas.openxmlformats.org/officeDocument/2006/relationships/worksheet" Target="/xl/worksheets/sheet12.xml" Id="R34a9e47eb30e40a1" /><Relationship Type="http://schemas.openxmlformats.org/officeDocument/2006/relationships/worksheet" Target="/xl/worksheets/sheet13.xml" Id="Rcf421c4b82f84db3" /><Relationship Type="http://schemas.openxmlformats.org/officeDocument/2006/relationships/worksheet" Target="/xl/worksheets/sheet14.xml" Id="Rbff71e5975254a7f" /><Relationship Type="http://schemas.openxmlformats.org/officeDocument/2006/relationships/worksheet" Target="/xl/worksheets/sheet15.xml" Id="R7cda482ac64b44d6" /><Relationship Type="http://schemas.openxmlformats.org/officeDocument/2006/relationships/worksheet" Target="/xl/worksheets/sheet16.xml" Id="Rfc90758b481646e4" /><Relationship Type="http://schemas.openxmlformats.org/officeDocument/2006/relationships/worksheet" Target="/xl/worksheets/sheet17.xml" Id="R4ce9f16255b74c58" /><Relationship Type="http://schemas.openxmlformats.org/officeDocument/2006/relationships/worksheet" Target="/xl/worksheets/sheet18.xml" Id="R5d7a3030b7244be7" /><Relationship Type="http://schemas.openxmlformats.org/officeDocument/2006/relationships/worksheet" Target="/xl/worksheets/sheet19.xml" Id="R9d080c253a0f47e8" /><Relationship Type="http://schemas.openxmlformats.org/officeDocument/2006/relationships/worksheet" Target="/xl/worksheets/sheet20.xml" Id="Re875af675e6d4f8d" /><Relationship Type="http://schemas.openxmlformats.org/officeDocument/2006/relationships/worksheet" Target="/xl/worksheets/sheet21.xml" Id="Re398cf9ba6ed42d4" /><Relationship Type="http://schemas.openxmlformats.org/officeDocument/2006/relationships/worksheet" Target="/xl/worksheets/sheet22.xml" Id="R1d9786c597c34a7e" /><Relationship Type="http://schemas.openxmlformats.org/officeDocument/2006/relationships/worksheet" Target="/xl/worksheets/sheet23.xml" Id="Redce11407a644250" /><Relationship Type="http://schemas.openxmlformats.org/officeDocument/2006/relationships/worksheet" Target="/xl/worksheets/sheet24.xml" Id="R0fa89b289bff4c9e" /><Relationship Type="http://schemas.openxmlformats.org/officeDocument/2006/relationships/worksheet" Target="/xl/worksheets/sheet25.xml" Id="Rfe7d481aabca4a38" /><Relationship Type="http://schemas.openxmlformats.org/officeDocument/2006/relationships/worksheet" Target="/xl/worksheets/sheet26.xml" Id="Ra8a7c143afbc40c5" /><Relationship Type="http://schemas.openxmlformats.org/officeDocument/2006/relationships/worksheet" Target="/xl/worksheets/sheet27.xml" Id="Rf0eafcb8e8bd4333" /><Relationship Type="http://schemas.microsoft.com/office/2017/10/relationships/person" Target="/xl/persons/person.xml" Id="R6bc7fb4be23949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OpenAI" id="{B20A5E8F-1F61-818A-517B-C7D0A5CE4CCA}"/>
  <xltc:person displayName="OpenAI" id="{E1D0835D-52A1-2593-457C-5A3E7BA8F720}"/>
  <xltc:person displayName="OpenAI" id="{2EF38F53-E152-6031-764D-C66269525390}"/>
  <xltc:person displayName="OpenAI" id="{7C06931F-BF57-0742-EEFC-3E05FEDF0F19}"/>
  <xltc:person displayName="OpenAI" id="{515D7572-7331-DB67-1E34-8CFECBC6DEF2}"/>
  <xltc:person displayName="OpenAI" id="{30D57FA3-3792-DD94-DC7D-DFBB5AD95824}"/>
  <xltc:person displayName="OpenAI" id="{AB5FA513-7EB5-A1B7-C6B8-C7C373959E6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c0f6a2d90584fab" /><Relationship Type="http://schemas.openxmlformats.org/officeDocument/2006/relationships/vmlDrawing" Target="/xl/drawings/vmldrawing.vml" Id="Ra13207660c3c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a508dbddbda4213" /><Relationship Type="http://schemas.openxmlformats.org/officeDocument/2006/relationships/vmlDrawing" Target="/xl/drawings/vmldrawing2.vml" Id="R04bba997810c4d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03c7216f62b5456b" /><Relationship Type="http://schemas.openxmlformats.org/officeDocument/2006/relationships/vmlDrawing" Target="/xl/drawings/vmldrawing3.vml" Id="Rfb2869b688e44a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b9da29366f7d4fd9" /><Relationship Type="http://schemas.openxmlformats.org/officeDocument/2006/relationships/vmlDrawing" Target="/xl/drawings/vmldrawing4.vml" Id="Re09b4ced9a7040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92e8340b9df04103" /><Relationship Type="http://schemas.openxmlformats.org/officeDocument/2006/relationships/vmlDrawing" Target="/xl/drawings/vmldrawing5.vml" Id="R6f96acf7c69448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6.xml" Id="R3b9adb9b5c4b4021" /><Relationship Type="http://schemas.openxmlformats.org/officeDocument/2006/relationships/vmlDrawing" Target="/xl/drawings/vmldrawing6.vml" Id="R142851c850524d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comments" Target="/xl/comments7.xml" Id="Rdad00ccf6c6c4b59" /><Relationship Type="http://schemas.openxmlformats.org/officeDocument/2006/relationships/vmlDrawing" Target="/xl/drawings/vmldrawing7.vml" Id="R21ef8e175c4344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80" customWidth="1"/>
    <x:col min="4" max="4" width="16" customWidth="1"/>
    <x:col min="5" max="5" width="32" customWidth="1"/>
  </x:cols>
  <x:sheetData>
    <x:row r="1">
      <x:c r="A1" s="1" t="inlineStr">
        <x:is>
          <x:t xml:space="preserve">NVDA Signal Workbook v3</x:t>
        </x:is>
      </x:c>
    </x:row>
    <x:row r="3" ht="24" customHeight="1">
      <x:c r="A3" s="2" t="inlineStr">
        <x:is>
          <x:t xml:space="preserve">Purpose</x:t>
        </x:is>
      </x:c>
      <x:c r="B3" s="3" t="inlineStr">
        <x:is>
          <x:t xml:space="preserve">Workbook to organise raw inputs, scenario controls, synthetic raw paths, and derived state layers for testing the NVDA desk framework.</x:t>
        </x:is>
      </x:c>
      <x:c r="D3" s="2" t="inlineStr">
        <x:is>
          <x:t xml:space="preserve">Legend</x:t>
        </x:is>
      </x:c>
    </x:row>
    <x:row r="4" ht="24" customHeight="1">
      <x:c r="A4" s="2" t="inlineStr">
        <x:is>
          <x:t xml:space="preserve">Scope</x:t>
        </x:is>
      </x:c>
      <x:c r="B4" s="3" t="inlineStr">
        <x:is>
          <x:t xml:space="preserve">Workbook now separates raw primitives from derived features, preserves explicit options-chain raw capture policy, and records Gate 41-44 playbook/module audit outcomes.</x:t>
        </x:is>
      </x:c>
      <x:c r="D4" t="inlineStr">
        <x:is>
          <x:t xml:space="preserve">Blue text</x:t>
        </x:is>
      </x:c>
      <x:c r="E4" t="inlineStr">
        <x:is>
          <x:t xml:space="preserve">User input / scenario control</x:t>
        </x:is>
      </x:c>
    </x:row>
    <x:row r="5" ht="24" customHeight="1">
      <x:c r="A5" s="4" t="inlineStr">
        <x:is>
          <x:t xml:space="preserve">Workflow</x:t>
        </x:is>
      </x:c>
      <x:c r="B5" s="3" t="inlineStr">
        <x:is>
          <x:t xml:space="preserve">1) Adjust Controls / Scenario. 2) Review Synthetic_Raw. 3) Inspect derived tabs. 4) Use scenario packs for replay / regression tests.</x:t>
        </x:is>
      </x:c>
      <x:c r="D5" s="5" t="inlineStr">
        <x:is>
          <x:t xml:space="preserve">Black text</x:t>
        </x:is>
      </x:c>
      <x:c r="E5" s="5" t="inlineStr">
        <x:is>
          <x:t xml:space="preserve">Formula or calculated output</x:t>
        </x:is>
      </x:c>
    </x:row>
    <x:row r="6" ht="24" customHeight="1">
      <x:c r="A6" s="4" t="inlineStr">
        <x:is>
          <x:t xml:space="preserve">Data philosophy</x:t>
        </x:is>
      </x:c>
      <x:c r="B6" s="3" t="inlineStr">
        <x:is>
          <x:t xml:space="preserve">1) Review Live_Web_Baseline. 2) Check web-seeded Anchor_Data. 3) Adjust Controls / Scenario. 4) Inspect Synthetic_Raw and derived tabs.</x:t>
        </x:is>
      </x:c>
      <x:c r="D6" s="5" t="inlineStr">
        <x:is>
          <x:t xml:space="preserve">Gray text</x:t>
        </x:is>
      </x:c>
      <x:c r="E6" s="5" t="inlineStr">
        <x:is>
          <x:t xml:space="preserve">Static note / taxonomy</x:t>
        </x:is>
      </x:c>
    </x:row>
    <x:row r="7" ht="24" customHeight="1">
      <x:c r="B7" t="inlineStr">
        <x:is>
          <x:t xml:space="preserve">Live web snapshot for ballpark baseline + synthetic regime-conditioned expansion. Raw first, derived second.</x:t>
        </x:is>
      </x:c>
      <x:c r="D7" s="5" t="inlineStr">
        <x:is>
          <x:t xml:space="preserve">Orange fill</x:t>
        </x:is>
      </x:c>
      <x:c r="E7" s="5" t="inlineStr">
        <x:is>
          <x:t xml:space="preserve">Review / caution</x:t>
        </x:is>
      </x:c>
    </x:row>
    <x:row r="8" ht="24" customHeight="1">
      <x:c r="A8" s="4" t="inlineStr">
        <x:is>
          <x:t xml:space="preserve">Core sheet order</x:t>
        </x:is>
      </x:c>
      <x:c r="D8" s="5" t="inlineStr">
        <x:is>
          <x:t xml:space="preserve">Teal fill</x:t>
        </x:is>
      </x:c>
      <x:c r="E8" s="5" t="inlineStr">
        <x:is>
          <x:t xml:space="preserve">Key KPI / scenario driver</x:t>
        </x:is>
      </x:c>
    </x:row>
    <x:row r="9" ht="24" customHeight="1">
      <x:c r="A9" s="5" t="n">
        <x:v>1</x:v>
      </x:c>
      <x:c r="B9" s="5" t="inlineStr">
        <x:is>
          <x:t xml:space="preserve">Controls</x:t>
        </x:is>
      </x:c>
    </x:row>
    <x:row r="10" ht="24" customHeight="1">
      <x:c r="A10" s="5" t="n">
        <x:v>2</x:v>
      </x:c>
      <x:c r="B10" s="5" t="inlineStr">
        <x:is>
          <x:t xml:space="preserve">Scenario_Packs</x:t>
        </x:is>
      </x:c>
      <x:c r="D10" t="inlineStr">
        <x:is>
          <x:t xml:space="preserve">Added</x:t>
        </x:is>
      </x:c>
      <x:c r="E10" t="inlineStr">
        <x:is>
          <x:t xml:space="preserve">Temporal Step1 sheets separate clock/calendar, primitive intraday observables, and a 30-second test harness.</x:t>
        </x:is>
      </x:c>
    </x:row>
    <x:row r="11" ht="24" customHeight="1">
      <x:c r="A11" s="5" t="n">
        <x:v>3</x:v>
      </x:c>
      <x:c r="B11" s="5" t="inlineStr">
        <x:is>
          <x:t xml:space="preserve">Raw_Catalog</x:t>
        </x:is>
      </x:c>
      <x:c r="D11" t="inlineStr">
        <x:is>
          <x:t xml:space="preserve">Design rule</x:t>
        </x:is>
      </x:c>
      <x:c r="E11" t="inlineStr">
        <x:is>
          <x:t xml:space="preserve">Step 1 may reuse primitives later, but may not consume Step 2/3 derived outputs.</x:t>
        </x:is>
      </x:c>
    </x:row>
    <x:row r="12" ht="24" customHeight="1">
      <x:c r="A12" s="5" t="n">
        <x:v>4</x:v>
      </x:c>
      <x:c r="B12" s="5" t="inlineStr">
        <x:is>
          <x:t xml:space="preserve">Anchor_Data</x:t>
        </x:is>
      </x:c>
    </x:row>
    <x:row r="13" ht="24" customHeight="1">
      <x:c r="A13" s="5" t="n">
        <x:v>5</x:v>
      </x:c>
      <x:c r="B13" s="5" t="inlineStr">
        <x:is>
          <x:t xml:space="preserve">Synthetic_Raw</x:t>
        </x:is>
      </x:c>
    </x:row>
    <x:row r="14" ht="24" customHeight="1">
      <x:c r="A14" s="5" t="n">
        <x:v>6</x:v>
      </x:c>
      <x:c r="B14" s="5" t="inlineStr">
        <x:is>
          <x:t xml:space="preserve">Derived_Beta_Leadership</x:t>
        </x:is>
      </x:c>
    </x:row>
    <x:row r="15" ht="24" customHeight="1">
      <x:c r="A15" s="5" t="n">
        <x:v>7</x:v>
      </x:c>
      <x:c r="B15" s="5" t="inlineStr">
        <x:is>
          <x:t xml:space="preserve">Derived_Vol_Rates_FX</x:t>
        </x:is>
      </x:c>
    </x:row>
    <x:row r="16" ht="24" customHeight="1">
      <x:c r="A16" s="5" t="n">
        <x:v>8</x:v>
      </x:c>
      <x:c r="B16" s="5" t="inlineStr">
        <x:is>
          <x:t xml:space="preserve">Derived_Execution_Options</x:t>
        </x:is>
      </x:c>
    </x:row>
    <x:row r="17">
      <x:c r="A17" s="5" t="n">
        <x:v>9</x:v>
      </x:c>
      <x:c r="B17" s="5" t="inlineStr">
        <x:is>
          <x:t xml:space="preserve">Derived_Asia_Breadth</x:t>
        </x:is>
      </x:c>
    </x:row>
    <x:row r="18">
      <x:c r="A18" s="5" t="n">
        <x:v>10</x:v>
      </x:c>
      <x:c r="B18" s="5" t="inlineStr">
        <x:is>
          <x:t xml:space="preserve">Test_Use_Cases</x:t>
        </x:is>
      </x:c>
    </x:row>
    <x:row r="19">
      <x:c r="A19" s="5" t="n">
        <x:v>11</x:v>
      </x:c>
      <x:c r="B19" s="5" t="inlineStr">
        <x:is>
          <x:t xml:space="preserve">Temporal_Step1_Framework</x:t>
        </x:is>
      </x:c>
    </x:row>
    <x:row r="20">
      <x:c r="A20" s="5" t="n">
        <x:v>12</x:v>
      </x:c>
      <x:c r="B20" s="5" t="inlineStr">
        <x:is>
          <x:t xml:space="preserve">Temporal_Step1_Tests</x:t>
        </x:is>
      </x:c>
    </x:row>
    <x:row r="22">
      <x:c r="A22" t="inlineStr">
        <x:is>
          <x:t xml:space="preserve">2026-03-25 workbook update</x:t>
        </x:is>
      </x:c>
      <x:c r="B22" t="inlineStr">
        <x:is>
          <x:t xml:space="preserve">Raw vs derived split added; see Raw_Primitives_Catalog, Derived_Features_Catalog, Options_Chain_Raw_Spec, Volume_Baseline_Raw_Spec, and Playbook_Module_Audit.</x:t>
        </x:is>
      </x:c>
    </x:row>
    <x:row r="23">
      <x:c r="A23" t="inlineStr">
        <x:is>
          <x:t xml:space="preserve">Legacy sheet note</x:t>
        </x:is>
      </x:c>
      <x:c r="B23" t="inlineStr">
        <x:is>
          <x:t xml:space="preserve">Raw_Catalog is retained for continuity but is now a mixed legacy catalog; use the new split sheets as source of truth.</x:t>
        </x:is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a13207660c3c405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4" max="4" width="24" customWidth="1"/>
    <x:col min="5" max="5" width="10" customWidth="1"/>
    <x:col min="6" max="6" width="10" customWidth="1"/>
  </x:cols>
  <x:sheetData>
    <x:row r="1">
      <x:c r="A1" s="1" t="inlineStr">
        <x:is>
          <x:t xml:space="preserve">Controls &amp; Selected Scenario Parameters</x:t>
        </x:is>
      </x:c>
    </x:row>
    <x:row r="3">
      <x:c r="A3" s="2" t="inlineStr">
        <x:is>
          <x:t xml:space="preserve">Frequency</x:t>
        </x:is>
      </x:c>
      <x:c r="B3" s="6" t="inlineStr">
        <x:is>
          <x:t xml:space="preserve">Monthly</x:t>
        </x:is>
      </x:c>
      <x:c r="D3" t="inlineStr">
        <x:is>
          <x:t xml:space="preserve">Notes</x:t>
        </x:is>
      </x:c>
    </x:row>
    <x:row r="4">
      <x:c r="A4" s="2" t="inlineStr">
        <x:is>
          <x:t xml:space="preserve">Start date</x:t>
        </x:is>
      </x:c>
      <x:c r="B4" s="41" t="n">
        <x:v>46023</x:v>
      </x:c>
      <x:c r="D4" s="8" t="inlineStr">
        <x:is>
          <x:t xml:space="preserve">Set scenario ID to 1=Baseline, 2=Stress, 3=Squeeze.</x:t>
        </x:is>
      </x:c>
      <x:c r="E4" t="inlineStr">
        <x:is>
          <x:t xml:space="preserve">Web baseline snapshot is March 2026; anchor rows are scaled around that point.</x:t>
        </x:is>
      </x:c>
    </x:row>
    <x:row r="5">
      <x:c r="A5" s="4" t="inlineStr">
        <x:is>
          <x:t xml:space="preserve">End date</x:t>
        </x:is>
      </x:c>
      <x:c r="B5" s="42" t="n">
        <x:v>46357</x:v>
      </x:c>
      <x:c r="D5" s="8" t="inlineStr">
        <x:is>
          <x:t xml:space="preserve">Noise scale is a placeholder control for future generator logic.</x:t>
        </x:is>
      </x:c>
      <x:c r="E5" t="inlineStr">
        <x:is>
          <x:t xml:space="preserve">Fields without a clean public baseline feed remain synthetic placeholders.</x:t>
        </x:is>
      </x:c>
    </x:row>
    <x:row r="6">
      <x:c r="A6" s="4" t="inlineStr">
        <x:is>
          <x:t xml:space="preserve">Selected scenario ID</x:t>
        </x:is>
      </x:c>
      <x:c r="B6" s="10" t="n">
        <x:v>1</x:v>
      </x:c>
      <x:c r="D6" s="8" t="inlineStr">
        <x:is>
          <x:t xml:space="preserve">Current workbook uses deterministic shifts to keep tests reproducible.</x:t>
        </x:is>
      </x:c>
    </x:row>
    <x:row r="7">
      <x:c r="A7" s="4" t="inlineStr">
        <x:is>
          <x:t xml:space="preserve">Selected scenario name</x:t>
        </x:is>
      </x:c>
      <x:c r="B7" s="11" t="str">
        <x:f>INDEX(Scenario_Packs!$B$2:$B$4,$B$10)</x:f>
        <x:v>Baseline</x:v>
      </x:c>
    </x:row>
    <x:row r="8">
      <x:c r="A8" s="4" t="inlineStr">
        <x:is>
          <x:t xml:space="preserve">Noise scale</x:t>
        </x:is>
      </x:c>
      <x:c r="B8" s="12" t="n">
        <x:v>0.15</x:v>
      </x:c>
    </x:row>
    <x:row r="10">
      <x:c r="A10" s="4" t="inlineStr">
        <x:is>
          <x:t xml:space="preserve">Scenario row index</x:t>
        </x:is>
      </x:c>
      <x:c r="B10" s="13" t="n">
        <x:f>MATCH(B6,Scenario_Packs!$A$2:$A$4,0)</x:f>
        <x:v>3</x:v>
      </x:c>
    </x:row>
    <x:row r="13">
      <x:c r="A13" s="1" t="inlineStr">
        <x:is>
          <x:t xml:space="preserve">Selected Scenario Parameters</x:t>
        </x:is>
      </x:c>
    </x:row>
    <x:row r="14">
      <x:c r="A14" s="14" t="inlineStr">
        <x:is>
          <x:t xml:space="preserve">NVDA price multiplier</x:t>
        </x:is>
      </x:c>
      <x:c r="B14" s="11" t="n">
        <x:f>INDEX(Scenario_Packs!$C$2:$C$4,$B$10)</x:f>
        <x:v>1</x:v>
      </x:c>
    </x:row>
    <x:row r="15">
      <x:c r="A15" s="14" t="inlineStr">
        <x:is>
          <x:t xml:space="preserve">NVDA volume multiplier</x:t>
        </x:is>
      </x:c>
      <x:c r="B15" s="13" t="n">
        <x:f>INDEX(Scenario_Packs!$D$2:$D$4,$B$10)</x:f>
        <x:v>1</x:v>
      </x:c>
    </x:row>
    <x:row r="16">
      <x:c r="A16" s="14" t="inlineStr">
        <x:is>
          <x:t xml:space="preserve">Beta tape multiplier</x:t>
        </x:is>
      </x:c>
      <x:c r="B16" s="11" t="n">
        <x:f>INDEX(Scenario_Packs!$E$2:$E$4,$B$10)</x:f>
        <x:v>1</x:v>
      </x:c>
    </x:row>
    <x:row r="17">
      <x:c r="A17" s="14" t="inlineStr">
        <x:is>
          <x:t xml:space="preserve">Asia handoff multiplier</x:t>
        </x:is>
      </x:c>
      <x:c r="B17" s="13" t="n">
        <x:f>INDEX(Scenario_Packs!$F$2:$F$4,$B$10)</x:f>
        <x:v>1</x:v>
      </x:c>
    </x:row>
    <x:row r="18">
      <x:c r="A18" s="14" t="inlineStr">
        <x:is>
          <x:t xml:space="preserve">VIX add</x:t>
        </x:is>
      </x:c>
      <x:c r="B18" s="11" t="n">
        <x:f>INDEX(Scenario_Packs!$G$2:$G$4,$B$10)</x:f>
        <x:v>0</x:v>
      </x:c>
    </x:row>
    <x:row r="19">
      <x:c r="A19" s="14" t="inlineStr">
        <x:is>
          <x:t xml:space="preserve">VVIX add</x:t>
        </x:is>
      </x:c>
      <x:c r="B19" s="13" t="n">
        <x:f>INDEX(Scenario_Packs!$H$2:$H$4,$B$10)</x:f>
        <x:v>0</x:v>
      </x:c>
    </x:row>
    <x:row r="20">
      <x:c r="A20" s="14" t="inlineStr">
        <x:is>
          <x:t xml:space="preserve">VIX9D add</x:t>
        </x:is>
      </x:c>
      <x:c r="B20" s="13" t="n">
        <x:f>INDEX(Scenario_Packs!$I$2:$I$4,$B$10)</x:f>
        <x:v>0</x:v>
      </x:c>
    </x:row>
    <x:row r="21">
      <x:c r="A21" s="14" t="inlineStr">
        <x:is>
          <x:t xml:space="preserve">SKEW add</x:t>
        </x:is>
      </x:c>
      <x:c r="B21" s="13" t="n">
        <x:f>INDEX(Scenario_Packs!$J$2:$J$4,$B$10)</x:f>
        <x:v>0</x:v>
      </x:c>
    </x:row>
    <x:row r="22">
      <x:c r="A22" s="14" t="inlineStr">
        <x:is>
          <x:t xml:space="preserve">US10Y add (bp)</x:t>
        </x:is>
      </x:c>
      <x:c r="B22" s="13" t="n">
        <x:f>INDEX(Scenario_Packs!$K$2:$K$4,$B$10)</x:f>
        <x:v>0</x:v>
      </x:c>
    </x:row>
    <x:row r="23">
      <x:c r="A23" s="14" t="inlineStr">
        <x:is>
          <x:t xml:space="preserve">US2Y add (bp)</x:t>
        </x:is>
      </x:c>
      <x:c r="B23" s="13" t="n">
        <x:f>INDEX(Scenario_Packs!$L$2:$L$4,$B$10)</x:f>
        <x:v>0</x:v>
      </x:c>
    </x:row>
    <x:row r="24">
      <x:c r="A24" s="14" t="inlineStr">
        <x:is>
          <x:t xml:space="preserve">USDJPY multiplier</x:t>
        </x:is>
      </x:c>
      <x:c r="B24" s="13" t="n">
        <x:f>INDEX(Scenario_Packs!$M$2:$M$4,$B$10)</x:f>
        <x:v>1</x:v>
      </x:c>
    </x:row>
    <x:row r="25">
      <x:c r="A25" s="14" t="inlineStr">
        <x:is>
          <x:t xml:space="preserve">Breadth add</x:t>
        </x:is>
      </x:c>
      <x:c r="B25" s="11" t="n">
        <x:f>INDEX(Scenario_Packs!$N$2:$N$4,$B$10)</x:f>
        <x:v>0</x:v>
      </x:c>
    </x:row>
    <x:row r="26">
      <x:c r="A26" s="14" t="inlineStr">
        <x:is>
          <x:t xml:space="preserve">Dealer gamma shift</x:t>
        </x:is>
      </x:c>
      <x:c r="B26" s="13" t="n">
        <x:f>INDEX(Scenario_Packs!$O$2:$O$4,$B$10)</x:f>
        <x:v>0</x:v>
      </x:c>
    </x:row>
    <x:row r="27">
      <x:c r="A27" s="14" t="inlineStr">
        <x:is>
          <x:t xml:space="preserve">Gamma concentration add</x:t>
        </x:is>
      </x:c>
      <x:c r="B27" s="13" t="n">
        <x:f>INDEX(Scenario_Packs!$P$2:$P$4,$B$10)</x:f>
        <x:v>0</x:v>
      </x:c>
    </x:row>
    <x:row r="28">
      <x:c r="A28" s="14" t="inlineStr">
        <x:is>
          <x:t xml:space="preserve">ATM IV add</x:t>
        </x:is>
      </x:c>
      <x:c r="B28" s="11" t="n">
        <x:f>INDEX(Scenario_Packs!$Q$2:$Q$4,$B$10)</x:f>
        <x:v>0</x:v>
      </x:c>
    </x:row>
    <x:row r="29">
      <x:c r="A29" s="14" t="inlineStr">
        <x:is>
          <x:t xml:space="preserve">Term slope add</x:t>
        </x:is>
      </x:c>
      <x:c r="B29" s="13" t="n">
        <x:f>INDEX(Scenario_Packs!$R$2:$R$4,$B$10)</x:f>
        <x:v>0</x:v>
      </x:c>
    </x:row>
    <x:row r="30">
      <x:c r="A30" s="14" t="inlineStr">
        <x:is>
          <x:t xml:space="preserve">Skew slope add</x:t>
        </x:is>
      </x:c>
      <x:c r="B30" s="13" t="n">
        <x:f>INDEX(Scenario_Packs!$S$2:$S$4,$B$10)</x:f>
        <x:v>0</x:v>
      </x:c>
    </x:row>
    <x:row r="31">
      <x:c r="A31" s="14" t="inlineStr">
        <x:is>
          <x:t xml:space="preserve">Call/put imbalance add</x:t>
        </x:is>
      </x:c>
      <x:c r="B31" s="13" t="n">
        <x:f>INDEX(Scenario_Packs!$T$2:$T$4,$B$10)</x:f>
        <x:v>0</x:v>
      </x:c>
    </x:row>
    <x:row r="32">
      <x:c r="A32" s="14" t="inlineStr">
        <x:is>
          <x:t xml:space="preserve">OI concentration add</x:t>
        </x:is>
      </x:c>
      <x:c r="B32" s="13" t="n">
        <x:f>INDEX(Scenario_Packs!$U$2:$U$4,$B$10)</x:f>
        <x:v>0</x:v>
      </x:c>
    </x:row>
    <x:row r="33">
      <x:c r="A33" s="14" t="inlineStr">
        <x:is>
          <x:t xml:space="preserve">RV20d add</x:t>
        </x:is>
      </x:c>
      <x:c r="B33" s="13" t="n">
        <x:f>INDEX(Scenario_Packs!$V$2:$V$4,$B$10)</x:f>
        <x:v>0</x:v>
      </x:c>
    </x:row>
  </x:sheetData>
  <x:mergeCells>
    <x:mergeCell ref="A13:C13"/>
    <x:mergeCell ref="A1:F1"/>
  </x:mergeCells>
  <x:pageMargins left="0.7" right="0.7" top="0.75" bottom="0.75" header="0.3" footer="0.3"/>
  <x:legacyDrawing xmlns:r="http://schemas.openxmlformats.org/officeDocument/2006/relationships" r:id="R04bba997810c4dc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</x:cols>
  <x:sheetData>
    <x:row r="1">
      <x:c r="A1" s="1" t="inlineStr">
        <x:is>
          <x:t xml:space="preserve">Scenario Packs</x:t>
        </x:is>
      </x:c>
    </x:row>
    <x:row r="3">
      <x:c r="A3" s="15" t="inlineStr">
        <x:is>
          <x:t xml:space="preserve">Scenario_ID</x:t>
        </x:is>
      </x:c>
      <x:c r="B3" s="15" t="inlineStr">
        <x:is>
          <x:t xml:space="preserve">Scenario_Name</x:t>
        </x:is>
      </x:c>
      <x:c r="C3" s="15" t="inlineStr">
        <x:is>
          <x:t xml:space="preserve">NVDA_Price_Mult</x:t>
        </x:is>
      </x:c>
      <x:c r="D3" s="15" t="inlineStr">
        <x:is>
          <x:t xml:space="preserve">NVDA_Vol_Mult</x:t>
        </x:is>
      </x:c>
      <x:c r="E3" s="15" t="inlineStr">
        <x:is>
          <x:t xml:space="preserve">Beta_Mult</x:t>
        </x:is>
      </x:c>
      <x:c r="F3" s="15" t="inlineStr">
        <x:is>
          <x:t xml:space="preserve">Asia_Mult</x:t>
        </x:is>
      </x:c>
      <x:c r="G3" s="15" t="inlineStr">
        <x:is>
          <x:t xml:space="preserve">VIX_Add</x:t>
        </x:is>
      </x:c>
      <x:c r="H3" s="15" t="inlineStr">
        <x:is>
          <x:t xml:space="preserve">VVIX_Add</x:t>
        </x:is>
      </x:c>
      <x:c r="I3" s="15" t="inlineStr">
        <x:is>
          <x:t xml:space="preserve">VIX9D_Add</x:t>
        </x:is>
      </x:c>
      <x:c r="J3" s="15" t="inlineStr">
        <x:is>
          <x:t xml:space="preserve">SKEW_Add</x:t>
        </x:is>
      </x:c>
      <x:c r="K3" s="15" t="inlineStr">
        <x:is>
          <x:t xml:space="preserve">US10Y_Add_bp</x:t>
        </x:is>
      </x:c>
      <x:c r="L3" s="15" t="inlineStr">
        <x:is>
          <x:t xml:space="preserve">US2Y_Add_bp</x:t>
        </x:is>
      </x:c>
      <x:c r="M3" s="15" t="inlineStr">
        <x:is>
          <x:t xml:space="preserve">USDJPY_Mult</x:t>
        </x:is>
      </x:c>
      <x:c r="N3" s="15" t="inlineStr">
        <x:is>
          <x:t xml:space="preserve">Breadth_Add</x:t>
        </x:is>
      </x:c>
      <x:c r="O3" s="15" t="inlineStr">
        <x:is>
          <x:t xml:space="preserve">Dealer_Gamma_Shift</x:t>
        </x:is>
      </x:c>
      <x:c r="P3" s="15" t="inlineStr">
        <x:is>
          <x:t xml:space="preserve">Gamma_Conc_Add</x:t>
        </x:is>
      </x:c>
      <x:c r="Q3" s="15" t="inlineStr">
        <x:is>
          <x:t xml:space="preserve">ATM_IV_Add</x:t>
        </x:is>
      </x:c>
      <x:c r="R3" s="15" t="inlineStr">
        <x:is>
          <x:t xml:space="preserve">Term_Slope_Add</x:t>
        </x:is>
      </x:c>
      <x:c r="S3" s="15" t="inlineStr">
        <x:is>
          <x:t xml:space="preserve">Skew_Slope_Add</x:t>
        </x:is>
      </x:c>
      <x:c r="T3" s="15" t="inlineStr">
        <x:is>
          <x:t xml:space="preserve">CallPut_Imbal_Add</x:t>
        </x:is>
      </x:c>
      <x:c r="U3" s="15" t="inlineStr">
        <x:is>
          <x:t xml:space="preserve">OI_Conc_Add</x:t>
        </x:is>
      </x:c>
      <x:c r="V3" s="15" t="inlineStr">
        <x:is>
          <x:t xml:space="preserve">RV20d_Add</x:t>
        </x:is>
      </x:c>
    </x:row>
    <x:row r="4">
      <x:c r="A4" s="16" t="n">
        <x:v>1</x:v>
      </x:c>
      <x:c r="B4" s="16" t="inlineStr">
        <x:is>
          <x:t xml:space="preserve">Baseline</x:t>
        </x:is>
      </x:c>
      <x:c r="C4" s="17" t="n">
        <x:v>1</x:v>
      </x:c>
      <x:c r="D4" s="17" t="n">
        <x:v>1</x:v>
      </x:c>
      <x:c r="E4" s="17" t="n">
        <x:v>1</x:v>
      </x:c>
      <x:c r="F4" s="17" t="n">
        <x:v>1</x:v>
      </x:c>
      <x:c r="G4" s="17" t="n">
        <x:v>0</x:v>
      </x:c>
      <x:c r="H4" s="17" t="n">
        <x:v>0</x:v>
      </x:c>
      <x:c r="I4" s="17" t="n">
        <x:v>0</x:v>
      </x:c>
      <x:c r="J4" s="17" t="n">
        <x:v>0</x:v>
      </x:c>
      <x:c r="K4" s="17" t="n">
        <x:v>0</x:v>
      </x:c>
      <x:c r="L4" s="17" t="n">
        <x:v>0</x:v>
      </x:c>
      <x:c r="M4" s="17" t="n">
        <x:v>1</x:v>
      </x:c>
      <x:c r="N4" s="17" t="n">
        <x:v>0</x:v>
      </x:c>
      <x:c r="O4" s="17" t="n">
        <x:v>0</x:v>
      </x:c>
      <x:c r="P4" s="17" t="n">
        <x:v>0</x:v>
      </x:c>
      <x:c r="Q4" s="17" t="n">
        <x:v>0</x:v>
      </x:c>
      <x:c r="R4" s="17" t="n">
        <x:v>0</x:v>
      </x:c>
      <x:c r="S4" s="17" t="n">
        <x:v>0</x:v>
      </x:c>
      <x:c r="T4" s="17" t="n">
        <x:v>0</x:v>
      </x:c>
      <x:c r="U4" s="17" t="n">
        <x:v>0</x:v>
      </x:c>
      <x:c r="V4" s="17" t="n">
        <x:v>0</x:v>
      </x:c>
    </x:row>
    <x:row r="5">
      <x:c r="A5" s="18" t="n">
        <x:v>2</x:v>
      </x:c>
      <x:c r="B5" s="18" t="inlineStr">
        <x:is>
          <x:t xml:space="preserve">Stress</x:t>
        </x:is>
      </x:c>
      <x:c r="C5" s="19" t="n">
        <x:v>0.93</x:v>
      </x:c>
      <x:c r="D5" s="19" t="n">
        <x:v>1.25</x:v>
      </x:c>
      <x:c r="E5" s="19" t="n">
        <x:v>0.97</x:v>
      </x:c>
      <x:c r="F5" s="19" t="n">
        <x:v>0.95</x:v>
      </x:c>
      <x:c r="G5" s="19" t="n">
        <x:v>6</x:v>
      </x:c>
      <x:c r="H5" s="19" t="n">
        <x:v>14</x:v>
      </x:c>
      <x:c r="I5" s="19" t="n">
        <x:v>8</x:v>
      </x:c>
      <x:c r="J5" s="19" t="n">
        <x:v>6</x:v>
      </x:c>
      <x:c r="K5" s="19" t="n">
        <x:v>35</x:v>
      </x:c>
      <x:c r="L5" s="19" t="n">
        <x:v>20</x:v>
      </x:c>
      <x:c r="M5" s="19" t="n">
        <x:v>0.97</x:v>
      </x:c>
      <x:c r="N5" s="19" t="n">
        <x:v>-0.12</x:v>
      </x:c>
      <x:c r="O5" s="19" t="n">
        <x:v>-0.4</x:v>
      </x:c>
      <x:c r="P5" s="19" t="n">
        <x:v>0.1</x:v>
      </x:c>
      <x:c r="Q5" s="19" t="n">
        <x:v>0.08</x:v>
      </x:c>
      <x:c r="R5" s="19" t="n">
        <x:v>0.05</x:v>
      </x:c>
      <x:c r="S5" s="19" t="n">
        <x:v>0.04</x:v>
      </x:c>
      <x:c r="T5" s="19" t="n">
        <x:v>-0.1</x:v>
      </x:c>
      <x:c r="U5" s="19" t="n">
        <x:v>0.06</x:v>
      </x:c>
      <x:c r="V5" s="19" t="n">
        <x:v>0.08</x:v>
      </x:c>
    </x:row>
    <x:row r="6">
      <x:c r="A6" s="18" t="n">
        <x:v>3</x:v>
      </x:c>
      <x:c r="B6" s="18" t="inlineStr">
        <x:is>
          <x:t xml:space="preserve">Squeeze</x:t>
        </x:is>
      </x:c>
      <x:c r="C6" s="19" t="n">
        <x:v>1.08</x:v>
      </x:c>
      <x:c r="D6" s="19" t="n">
        <x:v>1.2</x:v>
      </x:c>
      <x:c r="E6" s="19" t="n">
        <x:v>1.03</x:v>
      </x:c>
      <x:c r="F6" s="19" t="n">
        <x:v>1.01</x:v>
      </x:c>
      <x:c r="G6" s="19" t="n">
        <x:v>-1</x:v>
      </x:c>
      <x:c r="H6" s="19" t="n">
        <x:v>3</x:v>
      </x:c>
      <x:c r="I6" s="19" t="n">
        <x:v>2</x:v>
      </x:c>
      <x:c r="J6" s="19" t="n">
        <x:v>-2</x:v>
      </x:c>
      <x:c r="K6" s="19" t="n">
        <x:v>8</x:v>
      </x:c>
      <x:c r="L6" s="19" t="n">
        <x:v>4</x:v>
      </x:c>
      <x:c r="M6" s="19" t="n">
        <x:v>1.01</x:v>
      </x:c>
      <x:c r="N6" s="19" t="n">
        <x:v>0.08</x:v>
      </x:c>
      <x:c r="O6" s="19" t="n">
        <x:v>0.45</x:v>
      </x:c>
      <x:c r="P6" s="19" t="n">
        <x:v>0.18</x:v>
      </x:c>
      <x:c r="Q6" s="19" t="n">
        <x:v>0.04</x:v>
      </x:c>
      <x:c r="R6" s="19" t="n">
        <x:v>-0.02</x:v>
      </x:c>
      <x:c r="S6" s="19" t="n">
        <x:v>-0.03</x:v>
      </x:c>
      <x:c r="T6" s="19" t="n">
        <x:v>0.18</x:v>
      </x:c>
      <x:c r="U6" s="19" t="n">
        <x:v>0.1</x:v>
      </x:c>
      <x:c r="V6" s="19" t="n">
        <x:v>0.04</x:v>
      </x:c>
    </x:row>
  </x:sheetData>
  <x:mergeCells>
    <x:mergeCell ref="A1:V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Raw Input Catalog</x:t>
        </x:is>
      </x:c>
    </x:row>
    <x:row r="2">
      <x:c r="A2" t="inlineStr">
        <x:is>
          <x:t xml:space="preserve">Legacy mixed catalog retained for continuity only; use Raw_Primitives_Catalog and Derived_Features_Catalog as the source of truth.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Typical Source Class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US beta futures</x:t>
        </x:is>
      </x:c>
      <x:c r="B4" s="20" t="inlineStr">
        <x:is>
          <x:t xml:space="preserve">R01</x:t>
        </x:is>
      </x:c>
      <x:c r="C4" s="21" t="inlineStr">
        <x:is>
          <x:t xml:space="preserve">ES futures</x:t>
        </x:is>
      </x:c>
      <x:c r="D4" s="21" t="inlineStr">
        <x:is>
          <x:t xml:space="preserve">index level</x:t>
        </x:is>
      </x:c>
      <x:c r="E4" s="21" t="inlineStr">
        <x:is>
          <x:t xml:space="preserve">Broad US beta tape</x:t>
        </x:is>
      </x:c>
      <x:c r="F4" s="21" t="inlineStr">
        <x:is>
          <x:t xml:space="preserve">futures / vendor feed</x:t>
        </x:is>
      </x:c>
      <x:c r="G4" s="21" t="inlineStr">
        <x:is>
          <x:t xml:space="preserve">Continuous overnight discovery for US risk</x:t>
        </x:is>
      </x:c>
      <x:c r="H4" s="21" t="inlineStr">
        <x:is>
          <x:t xml:space="preserve">Preferred over cash ETF as primary beta tape</x:t>
        </x:is>
      </x:c>
    </x:row>
    <x:row r="5">
      <x:c r="A5" s="20" t="inlineStr">
        <x:is>
          <x:t xml:space="preserve">US beta futures</x:t>
        </x:is>
      </x:c>
      <x:c r="B5" s="20" t="inlineStr">
        <x:is>
          <x:t xml:space="preserve">R02</x:t>
        </x:is>
      </x:c>
      <x:c r="C5" s="21" t="inlineStr">
        <x:is>
          <x:t xml:space="preserve">NQ futures</x:t>
        </x:is>
      </x:c>
      <x:c r="D5" s="21" t="inlineStr">
        <x:is>
          <x:t xml:space="preserve">index level</x:t>
        </x:is>
      </x:c>
      <x:c r="E5" s="21" t="inlineStr">
        <x:is>
          <x:t xml:space="preserve">US tech beta tape</x:t>
        </x:is>
      </x:c>
      <x:c r="F5" s="21" t="inlineStr">
        <x:is>
          <x:t xml:space="preserve">futures / vendor feed</x:t>
        </x:is>
      </x:c>
      <x:c r="G5" s="21" t="inlineStr">
        <x:is>
          <x:t xml:space="preserve">Best live proxy for US tech / growth beta</x:t>
        </x:is>
      </x:c>
      <x:c r="H5" s="21" t="inlineStr">
        <x:is>
          <x:t xml:space="preserve">Critical for NVDA beta-residual work</x:t>
        </x:is>
      </x:c>
    </x:row>
    <x:row r="6">
      <x:c r="A6" s="20" t="inlineStr">
        <x:is>
          <x:t xml:space="preserve">Single-name execution</x:t>
        </x:is>
      </x:c>
      <x:c r="B6" s="20" t="inlineStr">
        <x:is>
          <x:t xml:space="preserve">R03</x:t>
        </x:is>
      </x:c>
      <x:c r="C6" s="21" t="inlineStr">
        <x:is>
          <x:t xml:space="preserve">NVDA close / spot</x:t>
        </x:is>
      </x:c>
      <x:c r="D6" s="21" t="inlineStr">
        <x:is>
          <x:t xml:space="preserve">price</x:t>
        </x:is>
      </x:c>
      <x:c r="E6" s="21" t="inlineStr">
        <x:is>
          <x:t xml:space="preserve">Underlying price state</x:t>
        </x:is>
      </x:c>
      <x:c r="F6" s="21" t="inlineStr">
        <x:is>
          <x:t xml:space="preserve">single-name market data</x:t>
        </x:is>
      </x:c>
      <x:c r="G6" s="21" t="inlineStr">
        <x:is>
          <x:t xml:space="preserve">Primary single-name state</x:t>
        </x:is>
      </x:c>
      <x:c r="H6" s="21" t="inlineStr">
        <x:is>
          <x:t xml:space="preserve">Use with volume to derive VWAP</x:t>
        </x:is>
      </x:c>
    </x:row>
    <x:row r="7">
      <x:c r="A7" s="20" t="inlineStr">
        <x:is>
          <x:t xml:space="preserve">Single-name execution</x:t>
        </x:is>
      </x:c>
      <x:c r="B7" s="20" t="inlineStr">
        <x:is>
          <x:t xml:space="preserve">R04</x:t>
        </x:is>
      </x:c>
      <x:c r="C7" s="21" t="inlineStr">
        <x:is>
          <x:t xml:space="preserve">NVDA high</x:t>
        </x:is>
      </x:c>
      <x:c r="D7" s="21" t="inlineStr">
        <x:is>
          <x:t xml:space="preserve">price</x:t>
        </x:is>
      </x:c>
      <x:c r="E7" s="21" t="inlineStr">
        <x:is>
          <x:t xml:space="preserve">Range state</x:t>
        </x:is>
      </x:c>
      <x:c r="F7" s="21" t="inlineStr">
        <x:is>
          <x:t xml:space="preserve">single-name market data</x:t>
        </x:is>
      </x:c>
      <x:c r="G7" s="21" t="inlineStr">
        <x:is>
          <x:t xml:space="preserve">Captures realised intraperiod excursion</x:t>
        </x:is>
      </x:c>
      <x:c r="H7" s="21" t="inlineStr">
        <x:is>
          <x:t xml:space="preserve">Used for range / trap proxies</x:t>
        </x:is>
      </x:c>
    </x:row>
    <x:row r="8">
      <x:c r="A8" s="20" t="inlineStr">
        <x:is>
          <x:t xml:space="preserve">Single-name execution</x:t>
        </x:is>
      </x:c>
      <x:c r="B8" s="20" t="inlineStr">
        <x:is>
          <x:t xml:space="preserve">R05</x:t>
        </x:is>
      </x:c>
      <x:c r="C8" s="21" t="inlineStr">
        <x:is>
          <x:t xml:space="preserve">NVDA low</x:t>
        </x:is>
      </x:c>
      <x:c r="D8" s="21" t="inlineStr">
        <x:is>
          <x:t xml:space="preserve">price</x:t>
        </x:is>
      </x:c>
      <x:c r="E8" s="21" t="inlineStr">
        <x:is>
          <x:t xml:space="preserve">Range state</x:t>
        </x:is>
      </x:c>
      <x:c r="F8" s="21" t="inlineStr">
        <x:is>
          <x:t xml:space="preserve">single-name market data</x:t>
        </x:is>
      </x:c>
      <x:c r="G8" s="21" t="inlineStr">
        <x:is>
          <x:t xml:space="preserve">Captures realised intraperiod excursion</x:t>
        </x:is>
      </x:c>
      <x:c r="H8" s="21" t="inlineStr">
        <x:is>
          <x:t xml:space="preserve">Used for range / trap proxies</x:t>
        </x:is>
      </x:c>
    </x:row>
    <x:row r="9">
      <x:c r="A9" s="20" t="inlineStr">
        <x:is>
          <x:t xml:space="preserve">Single-name execution</x:t>
        </x:is>
      </x:c>
      <x:c r="B9" s="20" t="inlineStr">
        <x:is>
          <x:t xml:space="preserve">R06</x:t>
        </x:is>
      </x:c>
      <x:c r="C9" s="21" t="inlineStr">
        <x:is>
          <x:t xml:space="preserve">NVDA volume</x:t>
        </x:is>
      </x:c>
      <x:c r="D9" s="21" t="inlineStr">
        <x:is>
          <x:t xml:space="preserve">shares or $</x:t>
        </x:is>
      </x:c>
      <x:c r="E9" s="21" t="inlineStr">
        <x:is>
          <x:t xml:space="preserve">Participation / execution state</x:t>
        </x:is>
      </x:c>
      <x:c r="F9" s="21" t="inlineStr">
        <x:is>
          <x:t xml:space="preserve">single-name market data</x:t>
        </x:is>
      </x:c>
      <x:c r="G9" s="21" t="inlineStr">
        <x:is>
          <x:t xml:space="preserve">Needed for VWAP, RVOL, participation baselines</x:t>
        </x:is>
      </x:c>
      <x:c r="H9" s="21" t="inlineStr">
        <x:is>
          <x:t xml:space="preserve">VWAP is derived, not raw</x:t>
        </x:is>
      </x:c>
    </x:row>
    <x:row r="10">
      <x:c r="A10" s="20" t="inlineStr">
        <x:is>
          <x:t xml:space="preserve">Sector / industry</x:t>
        </x:is>
      </x:c>
      <x:c r="B10" s="20" t="inlineStr">
        <x:is>
          <x:t xml:space="preserve">R07</x:t>
        </x:is>
      </x:c>
      <x:c r="C10" s="21" t="inlineStr">
        <x:is>
          <x:t xml:space="preserve">XLK / tech proxy</x:t>
        </x:is>
      </x:c>
      <x:c r="D10" s="21" t="inlineStr">
        <x:is>
          <x:t xml:space="preserve">index / ETF level</x:t>
        </x:is>
      </x:c>
      <x:c r="E10" s="21" t="inlineStr">
        <x:is>
          <x:t xml:space="preserve">US tech sector state</x:t>
        </x:is>
      </x:c>
      <x:c r="F10" s="21" t="inlineStr">
        <x:is>
          <x:t xml:space="preserve">sector market data</x:t>
        </x:is>
      </x:c>
      <x:c r="G10" s="21" t="inlineStr">
        <x:is>
          <x:t xml:space="preserve">Helps separate broad beta from tech leadership</x:t>
        </x:is>
      </x:c>
      <x:c r="H10" s="21" t="inlineStr">
        <x:is>
          <x:t xml:space="preserve">Proxy until cleaner IT sector feed</x:t>
        </x:is>
      </x:c>
    </x:row>
    <x:row r="11">
      <x:c r="A11" s="20" t="inlineStr">
        <x:is>
          <x:t xml:space="preserve">Sector / industry</x:t>
        </x:is>
      </x:c>
      <x:c r="B11" s="20" t="inlineStr">
        <x:is>
          <x:t xml:space="preserve">R08</x:t>
        </x:is>
      </x:c>
      <x:c r="C11" s="21" t="inlineStr">
        <x:is>
          <x:t xml:space="preserve">SOX / semis complex</x:t>
        </x:is>
      </x:c>
      <x:c r="D11" s="21" t="inlineStr">
        <x:is>
          <x:t xml:space="preserve">index level</x:t>
        </x:is>
      </x:c>
      <x:c r="E11" s="21" t="inlineStr">
        <x:is>
          <x:t xml:space="preserve">Semiconductor leadership</x:t>
        </x:is>
      </x:c>
      <x:c r="F11" s="21" t="inlineStr">
        <x:is>
          <x:t xml:space="preserve">sector market data</x:t>
        </x:is>
      </x:c>
      <x:c r="G11" s="21" t="inlineStr">
        <x:is>
          <x:t xml:space="preserve">NVDA often trades as semis leader</x:t>
        </x:is>
      </x:c>
      <x:c r="H11" s="21" t="inlineStr">
        <x:is>
          <x:t xml:space="preserve">Prefer SOX first-class state</x:t>
        </x:is>
      </x:c>
    </x:row>
    <x:row r="12">
      <x:c r="A12" s="20" t="inlineStr">
        <x:is>
          <x:t xml:space="preserve">Asia handoff</x:t>
        </x:is>
      </x:c>
      <x:c r="B12" s="20" t="inlineStr">
        <x:is>
          <x:t xml:space="preserve">R09</x:t>
        </x:is>
      </x:c>
      <x:c r="C12" s="21" t="inlineStr">
        <x:is>
          <x:t xml:space="preserve">Nikkei 225</x:t>
        </x:is>
      </x:c>
      <x:c r="D12" s="21" t="inlineStr">
        <x:is>
          <x:t xml:space="preserve">index level</x:t>
        </x:is>
      </x:c>
      <x:c r="E12" s="21" t="inlineStr">
        <x:is>
          <x:t xml:space="preserve">Japan overnight risk handoff</x:t>
        </x:is>
      </x:c>
      <x:c r="F12" s="21" t="inlineStr">
        <x:is>
          <x:t xml:space="preserve">Asia market data</x:t>
        </x:is>
      </x:c>
      <x:c r="G12" s="21" t="inlineStr">
        <x:is>
          <x:t xml:space="preserve">Captures overnight risk and carry unwind tone</x:t>
        </x:is>
      </x:c>
      <x:c r="H12" s="21" t="inlineStr">
        <x:is>
          <x:t xml:space="preserve">Could use futures later</x:t>
        </x:is>
      </x:c>
    </x:row>
    <x:row r="13">
      <x:c r="A13" s="20" t="inlineStr">
        <x:is>
          <x:t xml:space="preserve">Asia handoff</x:t>
        </x:is>
      </x:c>
      <x:c r="B13" s="20" t="inlineStr">
        <x:is>
          <x:t xml:space="preserve">R10</x:t>
        </x:is>
      </x:c>
      <x:c r="C13" s="21" t="inlineStr">
        <x:is>
          <x:t xml:space="preserve">Hang Seng Index</x:t>
        </x:is>
      </x:c>
      <x:c r="D13" s="21" t="inlineStr">
        <x:is>
          <x:t xml:space="preserve">index level</x:t>
        </x:is>
      </x:c>
      <x:c r="E13" s="21" t="inlineStr">
        <x:is>
          <x:t xml:space="preserve">Hong Kong overnight risk handoff</x:t>
        </x:is>
      </x:c>
      <x:c r="F13" s="21" t="inlineStr">
        <x:is>
          <x:t xml:space="preserve">Asia market data</x:t>
        </x:is>
      </x:c>
      <x:c r="G13" s="21" t="inlineStr">
        <x:is>
          <x:t xml:space="preserve">Captures China / HK equity sentiment</x:t>
        </x:is>
      </x:c>
      <x:c r="H13" s="21" t="inlineStr">
        <x:is>
          <x:t xml:space="preserve">Use with HSTECH</x:t>
        </x:is>
      </x:c>
    </x:row>
    <x:row r="14">
      <x:c r="A14" s="20" t="inlineStr">
        <x:is>
          <x:t xml:space="preserve">Asia handoff</x:t>
        </x:is>
      </x:c>
      <x:c r="B14" s="20" t="inlineStr">
        <x:is>
          <x:t xml:space="preserve">R11</x:t>
        </x:is>
      </x:c>
      <x:c r="C14" s="21" t="inlineStr">
        <x:is>
          <x:t xml:space="preserve">Hang Seng TECH</x:t>
        </x:is>
      </x:c>
      <x:c r="D14" s="21" t="inlineStr">
        <x:is>
          <x:t xml:space="preserve">index level</x:t>
        </x:is>
      </x:c>
      <x:c r="E14" s="21" t="inlineStr">
        <x:is>
          <x:t xml:space="preserve">China-tech / HK tech sentiment</x:t>
        </x:is>
      </x:c>
      <x:c r="F14" s="21" t="inlineStr">
        <x:is>
          <x:t xml:space="preserve">Asia market data</x:t>
        </x:is>
      </x:c>
      <x:c r="G14" s="21" t="inlineStr">
        <x:is>
          <x:t xml:space="preserve">Adds tech-specific Asia context</x:t>
        </x:is>
      </x:c>
      <x:c r="H14" s="21" t="inlineStr">
        <x:is>
          <x:t xml:space="preserve">Useful for overnight tech repricing</x:t>
        </x:is>
      </x:c>
    </x:row>
    <x:row r="15">
      <x:c r="A15" s="20" t="inlineStr">
        <x:is>
          <x:t xml:space="preserve">Vol complex</x:t>
        </x:is>
      </x:c>
      <x:c r="B15" s="20" t="inlineStr">
        <x:is>
          <x:t xml:space="preserve">R12</x:t>
        </x:is>
      </x:c>
      <x:c r="C15" s="21" t="inlineStr">
        <x:is>
          <x:t xml:space="preserve">VIX</x:t>
        </x:is>
      </x:c>
      <x:c r="D15" s="21" t="inlineStr">
        <x:is>
          <x:t xml:space="preserve">index points</x:t>
        </x:is>
      </x:c>
      <x:c r="E15" s="21" t="inlineStr">
        <x:is>
          <x:t xml:space="preserve">Broad US equity implied vol</x:t>
        </x:is>
      </x:c>
      <x:c r="F15" s="21" t="inlineStr">
        <x:is>
          <x:t xml:space="preserve">volatility index data</x:t>
        </x:is>
      </x:c>
      <x:c r="G15" s="21" t="inlineStr">
        <x:is>
          <x:t xml:space="preserve">Headline risk regime</x:t>
        </x:is>
      </x:c>
      <x:c r="H15" s="21" t="inlineStr">
        <x:is>
          <x:t xml:space="preserve">Need curve context too</x:t>
        </x:is>
      </x:c>
    </x:row>
    <x:row r="16">
      <x:c r="A16" s="20" t="inlineStr">
        <x:is>
          <x:t xml:space="preserve">Vol complex</x:t>
        </x:is>
      </x:c>
      <x:c r="B16" s="20" t="inlineStr">
        <x:is>
          <x:t xml:space="preserve">R13</x:t>
        </x:is>
      </x:c>
      <x:c r="C16" s="21" t="inlineStr">
        <x:is>
          <x:t xml:space="preserve">VVIX</x:t>
        </x:is>
      </x:c>
      <x:c r="D16" s="21" t="inlineStr">
        <x:is>
          <x:t xml:space="preserve">index points</x:t>
        </x:is>
      </x:c>
      <x:c r="E16" s="21" t="inlineStr">
        <x:is>
          <x:t xml:space="preserve">Vol-of-vol</x:t>
        </x:is>
      </x:c>
      <x:c r="F16" s="21" t="inlineStr">
        <x:is>
          <x:t xml:space="preserve">volatility index data</x:t>
        </x:is>
      </x:c>
      <x:c r="G16" s="21" t="inlineStr">
        <x:is>
          <x:t xml:space="preserve">Shows stress in vol regime itself</x:t>
        </x:is>
      </x:c>
      <x:c r="H16" s="21" t="inlineStr">
        <x:is>
          <x:t xml:space="preserve">Useful destabilisation signal</x:t>
        </x:is>
      </x:c>
    </x:row>
    <x:row r="17">
      <x:c r="A17" s="20" t="inlineStr">
        <x:is>
          <x:t xml:space="preserve">Vol complex</x:t>
        </x:is>
      </x:c>
      <x:c r="B17" s="20" t="inlineStr">
        <x:is>
          <x:t xml:space="preserve">R14</x:t>
        </x:is>
      </x:c>
      <x:c r="C17" s="21" t="inlineStr">
        <x:is>
          <x:t xml:space="preserve">VIX9D</x:t>
        </x:is>
      </x:c>
      <x:c r="D17" s="21" t="inlineStr">
        <x:is>
          <x:t xml:space="preserve">index points</x:t>
        </x:is>
      </x:c>
      <x:c r="E17" s="21" t="inlineStr">
        <x:is>
          <x:t xml:space="preserve">Short-end vol stress</x:t>
        </x:is>
      </x:c>
      <x:c r="F17" s="21" t="inlineStr">
        <x:is>
          <x:t xml:space="preserve">volatility index data</x:t>
        </x:is>
      </x:c>
      <x:c r="G17" s="21" t="inlineStr">
        <x:is>
          <x:t xml:space="preserve">Distinguishes near-term shock from broader stress</x:t>
        </x:is>
      </x:c>
      <x:c r="H17" s="21" t="inlineStr">
        <x:is>
          <x:t xml:space="preserve">Good event-risk lens</x:t>
        </x:is>
      </x:c>
    </x:row>
    <x:row r="18">
      <x:c r="A18" s="20" t="inlineStr">
        <x:is>
          <x:t xml:space="preserve">Vol complex</x:t>
        </x:is>
      </x:c>
      <x:c r="B18" s="20" t="inlineStr">
        <x:is>
          <x:t xml:space="preserve">R15</x:t>
        </x:is>
      </x:c>
      <x:c r="C18" s="21" t="inlineStr">
        <x:is>
          <x:t xml:space="preserve">SKEW</x:t>
        </x:is>
      </x:c>
      <x:c r="D18" s="21" t="inlineStr">
        <x:is>
          <x:t xml:space="preserve">index points</x:t>
        </x:is>
      </x:c>
      <x:c r="E18" s="21" t="inlineStr">
        <x:is>
          <x:t xml:space="preserve">Tail-risk pricing</x:t>
        </x:is>
      </x:c>
      <x:c r="F18" s="21" t="inlineStr">
        <x:is>
          <x:t xml:space="preserve">volatility index data</x:t>
        </x:is>
      </x:c>
      <x:c r="G18" s="21" t="inlineStr">
        <x:is>
          <x:t xml:space="preserve">Measures downside tail demand</x:t>
        </x:is>
      </x:c>
      <x:c r="H18" s="21" t="inlineStr">
        <x:is>
          <x:t xml:space="preserve">Useful veto input</x:t>
        </x:is>
      </x:c>
    </x:row>
    <x:row r="19">
      <x:c r="A19" s="20" t="inlineStr">
        <x:is>
          <x:t xml:space="preserve">Rates / FX</x:t>
        </x:is>
      </x:c>
      <x:c r="B19" s="20" t="inlineStr">
        <x:is>
          <x:t xml:space="preserve">R16</x:t>
        </x:is>
      </x:c>
      <x:c r="C19" s="21" t="inlineStr">
        <x:is>
          <x:t xml:space="preserve">US 10Y yield</x:t>
        </x:is>
      </x:c>
      <x:c r="D19" s="21" t="inlineStr">
        <x:is>
          <x:t xml:space="preserve">bp</x:t>
        </x:is>
      </x:c>
      <x:c r="E19" s="21" t="inlineStr">
        <x:is>
          <x:t xml:space="preserve">Discount-rate level</x:t>
        </x:is>
      </x:c>
      <x:c r="F19" s="21" t="inlineStr">
        <x:is>
          <x:t xml:space="preserve">rates data</x:t>
        </x:is>
      </x:c>
      <x:c r="G19" s="21" t="inlineStr">
        <x:is>
          <x:t xml:space="preserve">Growth-beta sensitivity</x:t>
        </x:is>
      </x:c>
      <x:c r="H19" s="21" t="inlineStr">
        <x:is>
          <x:t xml:space="preserve">Use with 2Y to build slope</x:t>
        </x:is>
      </x:c>
    </x:row>
    <x:row r="20">
      <x:c r="A20" s="20" t="inlineStr">
        <x:is>
          <x:t xml:space="preserve">Rates / FX</x:t>
        </x:is>
      </x:c>
      <x:c r="B20" s="20" t="inlineStr">
        <x:is>
          <x:t xml:space="preserve">R17</x:t>
        </x:is>
      </x:c>
      <x:c r="C20" s="21" t="inlineStr">
        <x:is>
          <x:t xml:space="preserve">US 2Y yield</x:t>
        </x:is>
      </x:c>
      <x:c r="D20" s="21" t="inlineStr">
        <x:is>
          <x:t xml:space="preserve">bp</x:t>
        </x:is>
      </x:c>
      <x:c r="E20" s="21" t="inlineStr">
        <x:is>
          <x:t xml:space="preserve">Front-end rate level</x:t>
        </x:is>
      </x:c>
      <x:c r="F20" s="21" t="inlineStr">
        <x:is>
          <x:t xml:space="preserve">rates data</x:t>
        </x:is>
      </x:c>
      <x:c r="G20" s="21" t="inlineStr">
        <x:is>
          <x:t xml:space="preserve">Policy sensitivity</x:t>
        </x:is>
      </x:c>
      <x:c r="H20" s="21" t="inlineStr">
        <x:is>
          <x:t xml:space="preserve">Needed for 10s2s slope</x:t>
        </x:is>
      </x:c>
    </x:row>
    <x:row r="21">
      <x:c r="A21" s="20" t="inlineStr">
        <x:is>
          <x:t xml:space="preserve">Rates / FX</x:t>
        </x:is>
      </x:c>
      <x:c r="B21" s="20" t="inlineStr">
        <x:is>
          <x:t xml:space="preserve">R18</x:t>
        </x:is>
      </x:c>
      <x:c r="C21" s="21" t="inlineStr">
        <x:is>
          <x:t xml:space="preserve">USDJPY</x:t>
        </x:is>
      </x:c>
      <x:c r="D21" s="21" t="inlineStr">
        <x:is>
          <x:t xml:space="preserve">FX rate</x:t>
        </x:is>
      </x:c>
      <x:c r="E21" s="21" t="inlineStr">
        <x:is>
          <x:t xml:space="preserve">Carry / risk sentiment proxy</x:t>
        </x:is>
      </x:c>
      <x:c r="F21" s="21" t="inlineStr">
        <x:is>
          <x:t xml:space="preserve">FX market data</x:t>
        </x:is>
      </x:c>
      <x:c r="G21" s="21" t="inlineStr">
        <x:is>
          <x:t xml:space="preserve">Useful for risk-off / carry unwind read</x:t>
        </x:is>
      </x:c>
      <x:c r="H21" s="21" t="inlineStr">
        <x:is>
          <x:t xml:space="preserve">Desk-grade cross-asset context</x:t>
        </x:is>
      </x:c>
    </x:row>
    <x:row r="22">
      <x:c r="A22" s="20" t="inlineStr">
        <x:is>
          <x:t xml:space="preserve">Breadth / concentration</x:t>
        </x:is>
      </x:c>
      <x:c r="B22" s="20" t="inlineStr">
        <x:is>
          <x:t xml:space="preserve">R19</x:t>
        </x:is>
      </x:c>
      <x:c r="C22" s="21" t="inlineStr">
        <x:is>
          <x:t xml:space="preserve">SPX breadth</x:t>
        </x:is>
      </x:c>
      <x:c r="D22" s="21" t="inlineStr">
        <x:is>
          <x:t xml:space="preserve">share or ratio</x:t>
        </x:is>
      </x:c>
      <x:c r="E22" s="21" t="inlineStr">
        <x:is>
          <x:t xml:space="preserve">Market breadth</x:t>
        </x:is>
      </x:c>
      <x:c r="F22" s="21" t="inlineStr">
        <x:is>
          <x:t xml:space="preserve">breadth data</x:t>
        </x:is>
      </x:c>
      <x:c r="G22" s="21" t="inlineStr">
        <x:is>
          <x:t xml:space="preserve">Distinguishes broad move vs narrow move</x:t>
        </x:is>
      </x:c>
      <x:c r="H22" s="21" t="inlineStr">
        <x:is>
          <x:t xml:space="preserve">Can start with proxy ratio</x:t>
        </x:is>
      </x:c>
    </x:row>
    <x:row r="23">
      <x:c r="A23" s="20" t="inlineStr">
        <x:is>
          <x:t xml:space="preserve">Breadth / concentration</x:t>
        </x:is>
      </x:c>
      <x:c r="B23" s="20" t="inlineStr">
        <x:is>
          <x:t xml:space="preserve">R20</x:t>
        </x:is>
      </x:c>
      <x:c r="C23" s="21" t="inlineStr">
        <x:is>
          <x:t xml:space="preserve">NDX breadth</x:t>
        </x:is>
      </x:c>
      <x:c r="D23" s="21" t="inlineStr">
        <x:is>
          <x:t xml:space="preserve">share or ratio</x:t>
        </x:is>
      </x:c>
      <x:c r="E23" s="21" t="inlineStr">
        <x:is>
          <x:t xml:space="preserve">Tech breadth</x:t>
        </x:is>
      </x:c>
      <x:c r="F23" s="21" t="inlineStr">
        <x:is>
          <x:t xml:space="preserve">breadth data</x:t>
        </x:is>
      </x:c>
      <x:c r="G23" s="21" t="inlineStr">
        <x:is>
          <x:t xml:space="preserve">Shows if tech move is broad</x:t>
        </x:is>
      </x:c>
      <x:c r="H23" s="21" t="inlineStr">
        <x:is>
          <x:t xml:space="preserve">Important for confirmation</x:t>
        </x:is>
      </x:c>
    </x:row>
    <x:row r="24">
      <x:c r="A24" s="20" t="inlineStr">
        <x:is>
          <x:t xml:space="preserve">Breadth / concentration</x:t>
        </x:is>
      </x:c>
      <x:c r="B24" s="20" t="inlineStr">
        <x:is>
          <x:t xml:space="preserve">R21</x:t>
        </x:is>
      </x:c>
      <x:c r="C24" s="21" t="inlineStr">
        <x:is>
          <x:t xml:space="preserve">SOX breadth</x:t>
        </x:is>
      </x:c>
      <x:c r="D24" s="21" t="inlineStr">
        <x:is>
          <x:t xml:space="preserve">share or ratio</x:t>
        </x:is>
      </x:c>
      <x:c r="E24" s="21" t="inlineStr">
        <x:is>
          <x:t xml:space="preserve">Semis breadth</x:t>
        </x:is>
      </x:c>
      <x:c r="F24" s="21" t="inlineStr">
        <x:is>
          <x:t xml:space="preserve">breadth data</x:t>
        </x:is>
      </x:c>
      <x:c r="G24" s="21" t="inlineStr">
        <x:is>
          <x:t xml:space="preserve">Shows whether semis follow through</x:t>
        </x:is>
      </x:c>
      <x:c r="H24" s="21" t="inlineStr">
        <x:is>
          <x:t xml:space="preserve">Good for leadership quality</x:t>
        </x:is>
      </x:c>
    </x:row>
    <x:row r="25">
      <x:c r="A25" s="20" t="inlineStr">
        <x:is>
          <x:t xml:space="preserve">Options state</x:t>
        </x:is>
      </x:c>
      <x:c r="B25" s="20" t="inlineStr">
        <x:is>
          <x:t xml:space="preserve">R22</x:t>
        </x:is>
      </x:c>
      <x:c r="C25" s="21" t="inlineStr">
        <x:is>
          <x:t xml:space="preserve">Dealer gamma bucket</x:t>
        </x:is>
      </x:c>
      <x:c r="D25" s="21" t="inlineStr">
        <x:is>
          <x:t xml:space="preserve">-1 to 1</x:t>
        </x:is>
      </x:c>
      <x:c r="E25" s="21" t="inlineStr">
        <x:is>
          <x:t xml:space="preserve">Simplified dealer positioning sign</x:t>
        </x:is>
      </x:c>
      <x:c r="F25" s="21" t="inlineStr">
        <x:is>
          <x:t xml:space="preserve">options-state proxy</x:t>
        </x:is>
      </x:c>
      <x:c r="G25" s="21" t="inlineStr">
        <x:is>
          <x:t xml:space="preserve">Stabilising vs destabilising hedge behaviour</x:t>
        </x:is>
      </x:c>
      <x:c r="H25" s="21" t="inlineStr">
        <x:is>
          <x:t xml:space="preserve">Proxy before full chain build</x:t>
        </x:is>
      </x:c>
    </x:row>
    <x:row r="26">
      <x:c r="A26" s="20" t="inlineStr">
        <x:is>
          <x:t xml:space="preserve">Options state</x:t>
        </x:is>
      </x:c>
      <x:c r="B26" s="20" t="inlineStr">
        <x:is>
          <x:t xml:space="preserve">R23</x:t>
        </x:is>
      </x:c>
      <x:c r="C26" s="21" t="inlineStr">
        <x:is>
          <x:t xml:space="preserve">Gamma concentration near spot</x:t>
        </x:is>
      </x:c>
      <x:c r="D26" s="21" t="inlineStr">
        <x:is>
          <x:t xml:space="preserve">0 to 1</x:t>
        </x:is>
      </x:c>
      <x:c r="E26" s="21" t="inlineStr">
        <x:is>
          <x:t xml:space="preserve">Strike clustering near spot</x:t>
        </x:is>
      </x:c>
      <x:c r="F26" s="21" t="inlineStr">
        <x:is>
          <x:t xml:space="preserve">options-state proxy</x:t>
        </x:is>
      </x:c>
      <x:c r="G26" s="21" t="inlineStr">
        <x:is>
          <x:t xml:space="preserve">Helps identify pin or squeeze zones</x:t>
        </x:is>
      </x:c>
      <x:c r="H26" s="21" t="inlineStr">
        <x:is>
          <x:t xml:space="preserve">Proxy field</x:t>
        </x:is>
      </x:c>
    </x:row>
    <x:row r="27">
      <x:c r="A27" s="20" t="inlineStr">
        <x:is>
          <x:t xml:space="preserve">Options state</x:t>
        </x:is>
      </x:c>
      <x:c r="B27" s="20" t="inlineStr">
        <x:is>
          <x:t xml:space="preserve">R24</x:t>
        </x:is>
      </x:c>
      <x:c r="C27" s="21" t="inlineStr">
        <x:is>
          <x:t xml:space="preserve">ATM IV</x:t>
        </x:is>
      </x:c>
      <x:c r="D27" s="21" t="inlineStr">
        <x:is>
          <x:t xml:space="preserve">decimal</x:t>
        </x:is>
      </x:c>
      <x:c r="E27" s="21" t="inlineStr">
        <x:is>
          <x:t xml:space="preserve">General optionality price</x:t>
        </x:is>
      </x:c>
      <x:c r="F27" s="21" t="inlineStr">
        <x:is>
          <x:t xml:space="preserve">options-state proxy</x:t>
        </x:is>
      </x:c>
      <x:c r="G27" s="21" t="inlineStr">
        <x:is>
          <x:t xml:space="preserve">Base implied-vol level</x:t>
        </x:is>
      </x:c>
      <x:c r="H27" s="21" t="inlineStr">
        <x:is>
          <x:t xml:space="preserve">Proxy field</x:t>
        </x:is>
      </x:c>
    </x:row>
    <x:row r="28">
      <x:c r="A28" s="20" t="inlineStr">
        <x:is>
          <x:t xml:space="preserve">Options state</x:t>
        </x:is>
      </x:c>
      <x:c r="B28" s="20" t="inlineStr">
        <x:is>
          <x:t xml:space="preserve">R25</x:t>
        </x:is>
      </x:c>
      <x:c r="C28" s="21" t="inlineStr">
        <x:is>
          <x:t xml:space="preserve">Front-vs-next term slope</x:t>
        </x:is>
      </x:c>
      <x:c r="D28" s="21" t="inlineStr">
        <x:is>
          <x:t xml:space="preserve">decimal</x:t>
        </x:is>
      </x:c>
      <x:c r="E28" s="21" t="inlineStr">
        <x:is>
          <x:t xml:space="preserve">Event stress vs medium stress</x:t>
        </x:is>
      </x:c>
      <x:c r="F28" s="21" t="inlineStr">
        <x:is>
          <x:t xml:space="preserve">options-state proxy</x:t>
        </x:is>
      </x:c>
      <x:c r="G28" s="21" t="inlineStr">
        <x:is>
          <x:t xml:space="preserve">Term-structure clue</x:t>
        </x:is>
      </x:c>
      <x:c r="H28" s="21" t="inlineStr">
        <x:is>
          <x:t xml:space="preserve">Proxy field</x:t>
        </x:is>
      </x:c>
    </x:row>
    <x:row r="29">
      <x:c r="A29" s="20" t="inlineStr">
        <x:is>
          <x:t xml:space="preserve">Options state</x:t>
        </x:is>
      </x:c>
      <x:c r="B29" s="20" t="inlineStr">
        <x:is>
          <x:t xml:space="preserve">R26</x:t>
        </x:is>
      </x:c>
      <x:c r="C29" s="21" t="inlineStr">
        <x:is>
          <x:t xml:space="preserve">Skew slope</x:t>
        </x:is>
      </x:c>
      <x:c r="D29" s="21" t="inlineStr">
        <x:is>
          <x:t xml:space="preserve">decimal</x:t>
        </x:is>
      </x:c>
      <x:c r="E29" s="21" t="inlineStr">
        <x:is>
          <x:t xml:space="preserve">Downside fear vs upside chase</x:t>
        </x:is>
      </x:c>
      <x:c r="F29" s="21" t="inlineStr">
        <x:is>
          <x:t xml:space="preserve">options-state proxy</x:t>
        </x:is>
      </x:c>
      <x:c r="G29" s="21" t="inlineStr">
        <x:is>
          <x:t xml:space="preserve">Shape of optionality demand</x:t>
        </x:is>
      </x:c>
      <x:c r="H29" s="21" t="inlineStr">
        <x:is>
          <x:t xml:space="preserve">Proxy field</x:t>
        </x:is>
      </x:c>
    </x:row>
    <x:row r="30">
      <x:c r="A30" s="20" t="inlineStr">
        <x:is>
          <x:t xml:space="preserve">Options state</x:t>
        </x:is>
      </x:c>
      <x:c r="B30" s="20" t="inlineStr">
        <x:is>
          <x:t xml:space="preserve">R27</x:t>
        </x:is>
      </x:c>
      <x:c r="C30" s="21" t="inlineStr">
        <x:is>
          <x:t xml:space="preserve">Call/put vol imbalance</x:t>
        </x:is>
      </x:c>
      <x:c r="D30" s="21" t="inlineStr">
        <x:is>
          <x:t xml:space="preserve">-1 to 1</x:t>
        </x:is>
      </x:c>
      <x:c r="E30" s="21" t="inlineStr">
        <x:is>
          <x:t xml:space="preserve">Flow bias</x:t>
        </x:is>
      </x:c>
      <x:c r="F30" s="21" t="inlineStr">
        <x:is>
          <x:t xml:space="preserve">options-state proxy</x:t>
        </x:is>
      </x:c>
      <x:c r="G30" s="21" t="inlineStr">
        <x:is>
          <x:t xml:space="preserve">Upside chase vs downside demand</x:t>
        </x:is>
      </x:c>
      <x:c r="H30" s="21" t="inlineStr">
        <x:is>
          <x:t xml:space="preserve">Proxy field</x:t>
        </x:is>
      </x:c>
    </x:row>
    <x:row r="31">
      <x:c r="A31" s="20" t="inlineStr">
        <x:is>
          <x:t xml:space="preserve">Options state</x:t>
        </x:is>
      </x:c>
      <x:c r="B31" s="20" t="inlineStr">
        <x:is>
          <x:t xml:space="preserve">R28</x:t>
        </x:is>
      </x:c>
      <x:c r="C31" s="21" t="inlineStr">
        <x:is>
          <x:t xml:space="preserve">OI concentration</x:t>
        </x:is>
      </x:c>
      <x:c r="D31" s="21" t="inlineStr">
        <x:is>
          <x:t xml:space="preserve">0 to 1</x:t>
        </x:is>
      </x:c>
      <x:c r="E31" s="21" t="inlineStr">
        <x:is>
          <x:t xml:space="preserve">Crowding near key strikes</x:t>
        </x:is>
      </x:c>
      <x:c r="F31" s="21" t="inlineStr">
        <x:is>
          <x:t xml:space="preserve">options-state proxy</x:t>
        </x:is>
      </x:c>
      <x:c r="G31" s="21" t="inlineStr">
        <x:is>
          <x:t xml:space="preserve">Supports pin / squeeze analysis</x:t>
        </x:is>
      </x:c>
      <x:c r="H31" s="21" t="inlineStr">
        <x:is>
          <x:t xml:space="preserve">Proxy field</x:t>
        </x:is>
      </x:c>
    </x:row>
    <x:row r="32">
      <x:c r="A32" s="20" t="inlineStr">
        <x:is>
          <x:t xml:space="preserve">Events</x:t>
        </x:is>
      </x:c>
      <x:c r="B32" s="20" t="inlineStr">
        <x:is>
          <x:t xml:space="preserve">R29</x:t>
        </x:is>
      </x:c>
      <x:c r="C32" s="21" t="inlineStr">
        <x:is>
          <x:t xml:space="preserve">Event flag</x:t>
        </x:is>
      </x:c>
      <x:c r="D32" s="21" t="inlineStr">
        <x:is>
          <x:t xml:space="preserve">0/1</x:t>
        </x:is>
      </x:c>
      <x:c r="E32" s="21" t="inlineStr">
        <x:is>
          <x:t xml:space="preserve">Special event / catalyst</x:t>
        </x:is>
      </x:c>
      <x:c r="F32" s="21" t="inlineStr">
        <x:is>
          <x:t xml:space="preserve">calendar / manual flag</x:t>
        </x:is>
      </x:c>
      <x:c r="G32" s="21" t="inlineStr">
        <x:is>
          <x:t xml:space="preserve">Prevents blind extrapolation</x:t>
        </x:is>
      </x:c>
      <x:c r="H32" s="21" t="inlineStr">
        <x:is>
          <x:t xml:space="preserve">Macro, earnings, policy windows</x:t>
        </x:is>
      </x:c>
    </x:row>
    <x:row r="33">
      <x:c r="A33" s="20" t="inlineStr">
        <x:is>
          <x:t xml:space="preserve">Temporal Step1</x:t>
        </x:is>
      </x:c>
      <x:c r="B33" s="20" t="inlineStr">
        <x:is>
          <x:t xml:space="preserve">R30</x:t>
        </x:is>
      </x:c>
      <x:c r="C33" s="20" t="inlineStr">
        <x:is>
          <x:t xml:space="preserve">Snapshot timestamp ET</x:t>
        </x:is>
      </x:c>
      <x:c r="D33" s="20" t="inlineStr">
        <x:is>
          <x:t xml:space="preserve">datetime</x:t>
        </x:is>
      </x:c>
      <x:c r="E33" s="20" t="inlineStr">
        <x:is>
          <x:t xml:space="preserve">Exact 30-second observation time in market timezone</x:t>
        </x:is>
      </x:c>
      <x:c r="F33" s="20" t="inlineStr">
        <x:is>
          <x:t xml:space="preserve">market clock / feed timestamp</x:t>
        </x:is>
      </x:c>
      <x:c r="G33" s="20" t="inlineStr">
        <x:is>
          <x:t xml:space="preserve">Foundation for session date, weekday, month, and minutes since open</x:t>
        </x:is>
      </x:c>
      <x:c r="H33" s="20" t="inlineStr">
        <x:is>
          <x:t xml:space="preserve">Target cadence: 30 seconds</x:t>
        </x:is>
      </x:c>
    </x:row>
    <x:row r="34">
      <x:c r="A34" s="20" t="inlineStr">
        <x:is>
          <x:t xml:space="preserve">Temporal Step1</x:t>
        </x:is>
      </x:c>
      <x:c r="B34" s="20" t="inlineStr">
        <x:is>
          <x:t xml:space="preserve">R31</x:t>
        </x:is>
      </x:c>
      <x:c r="C34" s="20" t="inlineStr">
        <x:is>
          <x:t xml:space="preserve">Session date ET</x:t>
        </x:is>
      </x:c>
      <x:c r="D34" s="20" t="inlineStr">
        <x:is>
          <x:t xml:space="preserve">date</x:t>
        </x:is>
      </x:c>
      <x:c r="E34" s="20" t="inlineStr">
        <x:is>
          <x:t xml:space="preserve">Trading session anchor date</x:t>
        </x:is>
      </x:c>
      <x:c r="F34" s="20" t="inlineStr">
        <x:is>
          <x:t xml:space="preserve">derived from timestamp</x:t>
        </x:is>
      </x:c>
      <x:c r="G34" s="20" t="inlineStr">
        <x:is>
          <x:t xml:space="preserve">Separates calendar logic from intraday state logic</x:t>
        </x:is>
      </x:c>
      <x:c r="H34" s="20" t="inlineStr">
        <x:is>
          <x:t xml:space="preserve">Useful for replay partitioning</x:t>
        </x:is>
      </x:c>
    </x:row>
    <x:row r="35">
      <x:c r="A35" s="20" t="inlineStr">
        <x:is>
          <x:t xml:space="preserve">Temporal Step1</x:t>
        </x:is>
      </x:c>
      <x:c r="B35" s="20" t="inlineStr">
        <x:is>
          <x:t xml:space="preserve">R32</x:t>
        </x:is>
      </x:c>
      <x:c r="C35" s="20" t="inlineStr">
        <x:is>
          <x:t xml:space="preserve">Prior close price</x:t>
        </x:is>
      </x:c>
      <x:c r="D35" s="20" t="inlineStr">
        <x:is>
          <x:t xml:space="preserve">price</x:t>
        </x:is>
      </x:c>
      <x:c r="E35" s="20" t="inlineStr">
        <x:is>
          <x:t xml:space="preserve">Reference for gap / carryover into the session</x:t>
        </x:is>
      </x:c>
      <x:c r="F35" s="20" t="inlineStr">
        <x:is>
          <x:t xml:space="preserve">single-name market data</x:t>
        </x:is>
      </x:c>
      <x:c r="G35" s="20" t="inlineStr">
        <x:is>
          <x:t xml:space="preserve">Lets Step 1 know what happened into now without using later modules</x:t>
        </x:is>
      </x:c>
      <x:c r="H35" s="20" t="inlineStr">
        <x:is>
          <x:t xml:space="preserve">Required for gap context</x:t>
        </x:is>
      </x:c>
    </x:row>
    <x:row r="36">
      <x:c r="A36" s="20" t="inlineStr">
        <x:is>
          <x:t xml:space="preserve">Temporal Step1</x:t>
        </x:is>
      </x:c>
      <x:c r="B36" s="20" t="inlineStr">
        <x:is>
          <x:t xml:space="preserve">R33</x:t>
        </x:is>
      </x:c>
      <x:c r="C36" s="20" t="inlineStr">
        <x:is>
          <x:t xml:space="preserve">Official open print</x:t>
        </x:is>
      </x:c>
      <x:c r="D36" s="20" t="inlineStr">
        <x:is>
          <x:t xml:space="preserve">price</x:t>
        </x:is>
      </x:c>
      <x:c r="E36" s="20" t="inlineStr">
        <x:is>
          <x:t xml:space="preserve">Opening auction / first regular-hours reference</x:t>
        </x:is>
      </x:c>
      <x:c r="F36" s="20" t="inlineStr">
        <x:is>
          <x:t xml:space="preserve">single-name market data</x:t>
        </x:is>
      </x:c>
      <x:c r="G36" s="20" t="inlineStr">
        <x:is>
          <x:t xml:space="preserve">Needed for opening-range and discovery logic</x:t>
        </x:is>
      </x:c>
      <x:c r="H36" s="20" t="inlineStr">
        <x:is>
          <x:t xml:space="preserve">Use regular-hours open only</x:t>
        </x:is>
      </x:c>
    </x:row>
    <x:row r="37">
      <x:c r="A37" s="20" t="inlineStr">
        <x:is>
          <x:t xml:space="preserve">Temporal Step1</x:t>
        </x:is>
      </x:c>
      <x:c r="B37" s="20" t="inlineStr">
        <x:is>
          <x:t xml:space="preserve">R34</x:t>
        </x:is>
      </x:c>
      <x:c r="C37" s="20" t="inlineStr">
        <x:is>
          <x:t xml:space="preserve">Last price</x:t>
        </x:is>
      </x:c>
      <x:c r="D37" s="20" t="inlineStr">
        <x:is>
          <x:t xml:space="preserve">price</x:t>
        </x:is>
      </x:c>
      <x:c r="E37" s="20" t="inlineStr">
        <x:is>
          <x:t xml:space="preserve">Current observed trade/mark for Step 1</x:t>
        </x:is>
      </x:c>
      <x:c r="F37" s="20" t="inlineStr">
        <x:is>
          <x:t xml:space="preserve">single-name market data</x:t>
        </x:is>
      </x:c>
      <x:c r="G37" s="20" t="inlineStr">
        <x:is>
          <x:t xml:space="preserve">Anchor for VWAP distance and rolling range</x:t>
        </x:is>
      </x:c>
      <x:c r="H37" s="20" t="inlineStr">
        <x:is>
          <x:t xml:space="preserve">Primitive only; no regime score</x:t>
        </x:is>
      </x:c>
    </x:row>
    <x:row r="38">
      <x:c r="A38" s="20" t="inlineStr">
        <x:is>
          <x:t xml:space="preserve">Temporal Step1</x:t>
        </x:is>
      </x:c>
      <x:c r="B38" s="20" t="inlineStr">
        <x:is>
          <x:t xml:space="preserve">R35</x:t>
        </x:is>
      </x:c>
      <x:c r="C38" s="20" t="inlineStr">
        <x:is>
          <x:t xml:space="preserve">Interval volume shares</x:t>
        </x:is>
      </x:c>
      <x:c r="D38" s="20" t="inlineStr">
        <x:is>
          <x:t xml:space="preserve">shares / 30s</x:t>
        </x:is>
      </x:c>
      <x:c r="E38" s="20" t="inlineStr">
        <x:is>
          <x:t xml:space="preserve">Observed traded volume in the current bucket</x:t>
        </x:is>
      </x:c>
      <x:c r="F38" s="20" t="inlineStr">
        <x:is>
          <x:t xml:space="preserve">single-name market data</x:t>
        </x:is>
      </x:c>
      <x:c r="G38" s="20" t="inlineStr">
        <x:is>
          <x:t xml:space="preserve">Core participation input for open/close and compression logic</x:t>
        </x:is>
      </x:c>
      <x:c r="H38" s="20" t="inlineStr">
        <x:is>
          <x:t xml:space="preserve">30-second bucket preferred</x:t>
        </x:is>
      </x:c>
    </x:row>
    <x:row r="39">
      <x:c r="A39" s="20" t="inlineStr">
        <x:is>
          <x:t xml:space="preserve">Temporal Step1</x:t>
        </x:is>
      </x:c>
      <x:c r="B39" s="20" t="inlineStr">
        <x:is>
          <x:t xml:space="preserve">R36</x:t>
        </x:is>
      </x:c>
      <x:c r="C39" s="20" t="inlineStr">
        <x:is>
          <x:t xml:space="preserve">Cumulative session volume</x:t>
        </x:is>
      </x:c>
      <x:c r="D39" s="20" t="inlineStr">
        <x:is>
          <x:t xml:space="preserve">shares</x:t>
        </x:is>
      </x:c>
      <x:c r="E39" s="20" t="inlineStr">
        <x:is>
          <x:t xml:space="preserve">Session-to-date traded volume</x:t>
        </x:is>
      </x:c>
      <x:c r="F39" s="20" t="inlineStr">
        <x:is>
          <x:t xml:space="preserve">single-name market data</x:t>
        </x:is>
      </x:c>
      <x:c r="G39" s="20" t="inlineStr">
        <x:is>
          <x:t xml:space="preserve">Needed for relative-volume and VWAP accumulation</x:t>
        </x:is>
      </x:c>
      <x:c r="H39" s="20" t="inlineStr">
        <x:is>
          <x:t xml:space="preserve">Can be derived from interval volume</x:t>
        </x:is>
      </x:c>
    </x:row>
    <x:row r="40">
      <x:c r="A40" s="20" t="inlineStr">
        <x:is>
          <x:t xml:space="preserve">Temporal Step1</x:t>
        </x:is>
      </x:c>
      <x:c r="B40" s="20" t="inlineStr">
        <x:is>
          <x:t xml:space="preserve">R37</x:t>
        </x:is>
      </x:c>
      <x:c r="C40" s="20" t="inlineStr">
        <x:is>
          <x:t xml:space="preserve">Session VWAP</x:t>
        </x:is>
      </x:c>
      <x:c r="D40" s="20" t="inlineStr">
        <x:is>
          <x:t xml:space="preserve">price</x:t>
        </x:is>
      </x:c>
      <x:c r="E40" s="20" t="inlineStr">
        <x:is>
          <x:t xml:space="preserve">Current regular-hours VWAP</x:t>
        </x:is>
      </x:c>
      <x:c r="F40" s="20" t="inlineStr">
        <x:is>
          <x:t xml:space="preserve">price + volume accumulator</x:t>
        </x:is>
      </x:c>
      <x:c r="G40" s="20" t="inlineStr">
        <x:is>
          <x:t xml:space="preserve">Critical fair-value anchor for early stabilisation vs drift</x:t>
        </x:is>
      </x:c>
      <x:c r="H40" s="20" t="inlineStr">
        <x:is>
          <x:t xml:space="preserve">Primitive Step 1 observable</x:t>
        </x:is>
      </x:c>
    </x:row>
    <x:row r="41">
      <x:c r="A41" s="20" t="inlineStr">
        <x:is>
          <x:t xml:space="preserve">Temporal Step1</x:t>
        </x:is>
      </x:c>
      <x:c r="B41" s="20" t="inlineStr">
        <x:is>
          <x:t xml:space="preserve">R38</x:t>
        </x:is>
      </x:c>
      <x:c r="C41" s="20" t="inlineStr">
        <x:is>
          <x:t xml:space="preserve">Distance to VWAP</x:t>
        </x:is>
      </x:c>
      <x:c r="D41" s="20" t="inlineStr">
        <x:is>
          <x:t xml:space="preserve">bps</x:t>
        </x:is>
      </x:c>
      <x:c r="E41" s="20" t="inlineStr">
        <x:is>
          <x:t xml:space="preserve">Current distance versus session VWAP</x:t>
        </x:is>
      </x:c>
      <x:c r="F41" s="20" t="inlineStr">
        <x:is>
          <x:t xml:space="preserve">derived from last price and VWAP</x:t>
        </x:is>
      </x:c>
      <x:c r="G41" s="20" t="inlineStr">
        <x:is>
          <x:t xml:space="preserve">Separates orderly anchoring from trend extension or disorder</x:t>
        </x:is>
      </x:c>
      <x:c r="H41" s="20" t="inlineStr">
        <x:is>
          <x:t xml:space="preserve">Signed value</x:t>
        </x:is>
      </x:c>
    </x:row>
    <x:row r="42">
      <x:c r="A42" s="20" t="inlineStr">
        <x:is>
          <x:t xml:space="preserve">Temporal Step1</x:t>
        </x:is>
      </x:c>
      <x:c r="B42" s="20" t="inlineStr">
        <x:is>
          <x:t xml:space="preserve">R39</x:t>
        </x:is>
      </x:c>
      <x:c r="C42" s="20" t="inlineStr">
        <x:is>
          <x:t xml:space="preserve">VWAP slope 5m</x:t>
        </x:is>
      </x:c>
      <x:c r="D42" s="20" t="inlineStr">
        <x:is>
          <x:t xml:space="preserve">bps / 5m</x:t>
        </x:is>
      </x:c>
      <x:c r="E42" s="20" t="inlineStr">
        <x:is>
          <x:t xml:space="preserve">Short-window VWAP trend direction</x:t>
        </x:is>
      </x:c>
      <x:c r="F42" s="20" t="inlineStr">
        <x:is>
          <x:t xml:space="preserve">derived from rolling VWAP window</x:t>
        </x:is>
      </x:c>
      <x:c r="G42" s="20" t="inlineStr">
        <x:is>
          <x:t xml:space="preserve">Helps distinguish trend persistence from magnet behaviour</x:t>
        </x:is>
      </x:c>
      <x:c r="H42" s="20" t="inlineStr">
        <x:is>
          <x:t xml:space="preserve">Signed value</x:t>
        </x:is>
      </x:c>
    </x:row>
    <x:row r="43">
      <x:c r="A43" s="20" t="inlineStr">
        <x:is>
          <x:t xml:space="preserve">Temporal Step1</x:t>
        </x:is>
      </x:c>
      <x:c r="B43" s="20" t="inlineStr">
        <x:is>
          <x:t xml:space="preserve">R40</x:t>
        </x:is>
      </x:c>
      <x:c r="C43" s="20" t="inlineStr">
        <x:is>
          <x:t xml:space="preserve">Opening-range high 5m</x:t>
        </x:is>
      </x:c>
      <x:c r="D43" s="20" t="inlineStr">
        <x:is>
          <x:t xml:space="preserve">price</x:t>
        </x:is>
      </x:c>
      <x:c r="E43" s="20" t="inlineStr">
        <x:is>
          <x:t xml:space="preserve">High of initial 5-minute opening range</x:t>
        </x:is>
      </x:c>
      <x:c r="F43" s="20" t="inlineStr">
        <x:is>
          <x:t xml:space="preserve">single-name market data</x:t>
        </x:is>
      </x:c>
      <x:c r="G43" s="20" t="inlineStr">
        <x:is>
          <x:t xml:space="preserve">Lets Step 1 detect continued discovery or breakout/reject behaviour</x:t>
        </x:is>
      </x:c>
      <x:c r="H43" s="20" t="inlineStr">
        <x:is>
          <x:t xml:space="preserve">Could also test 15m later</x:t>
        </x:is>
      </x:c>
    </x:row>
    <x:row r="44">
      <x:c r="A44" s="20" t="inlineStr">
        <x:is>
          <x:t xml:space="preserve">Temporal Step1</x:t>
        </x:is>
      </x:c>
      <x:c r="B44" s="20" t="inlineStr">
        <x:is>
          <x:t xml:space="preserve">R41</x:t>
        </x:is>
      </x:c>
      <x:c r="C44" s="20" t="inlineStr">
        <x:is>
          <x:t xml:space="preserve">Opening-range low 5m</x:t>
        </x:is>
      </x:c>
      <x:c r="D44" s="20" t="inlineStr">
        <x:is>
          <x:t xml:space="preserve">price</x:t>
        </x:is>
      </x:c>
      <x:c r="E44" s="20" t="inlineStr">
        <x:is>
          <x:t xml:space="preserve">Low of initial 5-minute opening range</x:t>
        </x:is>
      </x:c>
      <x:c r="F44" s="20" t="inlineStr">
        <x:is>
          <x:t xml:space="preserve">single-name market data</x:t>
        </x:is>
      </x:c>
      <x:c r="G44" s="20" t="inlineStr">
        <x:is>
          <x:t xml:space="preserve">Pairs with opening-range high to frame early tape structure</x:t>
        </x:is>
      </x:c>
      <x:c r="H44" s="20" t="inlineStr">
        <x:is>
          <x:t xml:space="preserve">Could also test 15m later</x:t>
        </x:is>
      </x:c>
    </x:row>
    <x:row r="45">
      <x:c r="A45" s="20" t="inlineStr">
        <x:is>
          <x:t xml:space="preserve">Temporal Step1</x:t>
        </x:is>
      </x:c>
      <x:c r="B45" s="20" t="inlineStr">
        <x:is>
          <x:t xml:space="preserve">R42</x:t>
        </x:is>
      </x:c>
      <x:c r="C45" s="20" t="inlineStr">
        <x:is>
          <x:t xml:space="preserve">Opening-range break count</x:t>
        </x:is>
      </x:c>
      <x:c r="D45" s="20" t="inlineStr">
        <x:is>
          <x:t xml:space="preserve">count</x:t>
        </x:is>
      </x:c>
      <x:c r="E45" s="20" t="inlineStr">
        <x:is>
          <x:t xml:space="preserve">How many times price has broken / re-broken the opening range</x:t>
        </x:is>
      </x:c>
      <x:c r="F45" s="20" t="inlineStr">
        <x:is>
          <x:t xml:space="preserve">derived from price path</x:t>
        </x:is>
      </x:c>
      <x:c r="G45" s="20" t="inlineStr">
        <x:is>
          <x:t xml:space="preserve">High count implies unresolved discovery rather than stable anchor</x:t>
        </x:is>
      </x:c>
      <x:c r="H45" s="20" t="inlineStr">
        <x:is>
          <x:t xml:space="preserve">Step 1 only; not a playbook output</x:t>
        </x:is>
      </x:c>
    </x:row>
    <x:row r="46">
      <x:c r="A46" s="20" t="inlineStr">
        <x:is>
          <x:t xml:space="preserve">Temporal Step1</x:t>
        </x:is>
      </x:c>
      <x:c r="B46" s="20" t="inlineStr">
        <x:is>
          <x:t xml:space="preserve">R43</x:t>
        </x:is>
      </x:c>
      <x:c r="C46" s="20" t="inlineStr">
        <x:is>
          <x:t xml:space="preserve">Rolling realised vol 5m</x:t>
        </x:is>
      </x:c>
      <x:c r="D46" s="20" t="inlineStr">
        <x:is>
          <x:t xml:space="preserve">bps</x:t>
        </x:is>
      </x:c>
      <x:c r="E46" s="20" t="inlineStr">
        <x:is>
          <x:t xml:space="preserve">Short-window realised volatility</x:t>
        </x:is>
      </x:c>
      <x:c r="F46" s="20" t="inlineStr">
        <x:is>
          <x:t xml:space="preserve">derived from 30-second returns</x:t>
        </x:is>
      </x:c>
      <x:c r="G46" s="20" t="inlineStr">
        <x:is>
          <x:t xml:space="preserve">Direct behavioural input for disorder vs compression</x:t>
        </x:is>
      </x:c>
      <x:c r="H46" s="20" t="inlineStr">
        <x:is>
          <x:t xml:space="preserve">Primitive volatility measure</x:t>
        </x:is>
      </x:c>
    </x:row>
    <x:row r="47">
      <x:c r="A47" s="20" t="inlineStr">
        <x:is>
          <x:t xml:space="preserve">Temporal Step1</x:t>
        </x:is>
      </x:c>
      <x:c r="B47" s="20" t="inlineStr">
        <x:is>
          <x:t xml:space="preserve">R44</x:t>
        </x:is>
      </x:c>
      <x:c r="C47" s="20" t="inlineStr">
        <x:is>
          <x:t xml:space="preserve">Rolling realised vol 15m</x:t>
        </x:is>
      </x:c>
      <x:c r="D47" s="20" t="inlineStr">
        <x:is>
          <x:t xml:space="preserve">bps</x:t>
        </x:is>
      </x:c>
      <x:c r="E47" s="20" t="inlineStr">
        <x:is>
          <x:t xml:space="preserve">Longer short-term realised volatility context</x:t>
        </x:is>
      </x:c>
      <x:c r="F47" s="20" t="inlineStr">
        <x:is>
          <x:t xml:space="preserve">derived from 30-second returns</x:t>
        </x:is>
      </x:c>
      <x:c r="G47" s="20" t="inlineStr">
        <x:is>
          <x:t xml:space="preserve">Separates transient spikes from persistent state</x:t>
        </x:is>
      </x:c>
      <x:c r="H47" s="20" t="inlineStr">
        <x:is>
          <x:t xml:space="preserve">Pairs with RV 5m</x:t>
        </x:is>
      </x:c>
    </x:row>
    <x:row r="48">
      <x:c r="A48" s="20" t="inlineStr">
        <x:is>
          <x:t xml:space="preserve">Temporal Step1</x:t>
        </x:is>
      </x:c>
      <x:c r="B48" s="20" t="inlineStr">
        <x:is>
          <x:t xml:space="preserve">R45</x:t>
        </x:is>
      </x:c>
      <x:c r="C48" s="20" t="inlineStr">
        <x:is>
          <x:t xml:space="preserve">Relative volume vs intraday curve</x:t>
        </x:is>
      </x:c>
      <x:c r="D48" s="20" t="inlineStr">
        <x:is>
          <x:t xml:space="preserve">ratio</x:t>
        </x:is>
      </x:c>
      <x:c r="E48" s="20" t="inlineStr">
        <x:is>
          <x:t xml:space="preserve">Observed participation versus normal time-of-day curve</x:t>
        </x:is>
      </x:c>
      <x:c r="F48" s="20" t="inlineStr">
        <x:is>
          <x:t xml:space="preserve">derived from historical intraday baseline</x:t>
        </x:is>
      </x:c>
      <x:c r="G48" s="20" t="inlineStr">
        <x:is>
          <x:t xml:space="preserve">Avoids hard-coding clock buckets as behaviour</x:t>
        </x:is>
      </x:c>
      <x:c r="H48" s="20" t="inlineStr">
        <x:is>
          <x:t xml:space="preserve">Needs historical baseline capture</x:t>
        </x:is>
      </x:c>
    </x:row>
    <x:row r="49">
      <x:c r="A49" s="20" t="inlineStr">
        <x:is>
          <x:t xml:space="preserve">Temporal Step1</x:t>
        </x:is>
      </x:c>
      <x:c r="B49" s="20" t="inlineStr">
        <x:is>
          <x:t xml:space="preserve">R46</x:t>
        </x:is>
      </x:c>
      <x:c r="C49" s="20" t="inlineStr">
        <x:is>
          <x:t xml:space="preserve">Rolling 5m range</x:t>
        </x:is>
      </x:c>
      <x:c r="D49" s="20" t="inlineStr">
        <x:is>
          <x:t xml:space="preserve">bps</x:t>
        </x:is>
      </x:c>
      <x:c r="E49" s="20" t="inlineStr">
        <x:is>
          <x:t xml:space="preserve">Current realised range over last 5 minutes</x:t>
        </x:is>
      </x:c>
      <x:c r="F49" s="20" t="inlineStr">
        <x:is>
          <x:t xml:space="preserve">derived from price path</x:t>
        </x:is>
      </x:c>
      <x:c r="G49" s="20" t="inlineStr">
        <x:is>
          <x:t xml:space="preserve">Compression versus expansion detector</x:t>
        </x:is>
      </x:c>
      <x:c r="H49" s="20" t="inlineStr">
        <x:is>
          <x:t xml:space="preserve">Primitive range measure</x:t>
        </x:is>
      </x:c>
    </x:row>
    <x:row r="50">
      <x:c r="A50" s="20" t="inlineStr">
        <x:is>
          <x:t xml:space="preserve">Temporal Step1</x:t>
        </x:is>
      </x:c>
      <x:c r="B50" s="20" t="inlineStr">
        <x:is>
          <x:t xml:space="preserve">R47</x:t>
        </x:is>
      </x:c>
      <x:c r="C50" s="20" t="inlineStr">
        <x:is>
          <x:t xml:space="preserve">Impulse age</x:t>
        </x:is>
      </x:c>
      <x:c r="D50" s="20" t="inlineStr">
        <x:is>
          <x:t xml:space="preserve">minutes</x:t>
        </x:is>
      </x:c>
      <x:c r="E50" s="20" t="inlineStr">
        <x:is>
          <x:t xml:space="preserve">Minutes since last meaningful impulse move</x:t>
        </x:is>
      </x:c>
      <x:c r="F50" s="20" t="inlineStr">
        <x:is>
          <x:t xml:space="preserve">derived from price path</x:t>
        </x:is>
      </x:c>
      <x:c r="G50" s="20" t="inlineStr">
        <x:is>
          <x:t xml:space="preserve">Helpful for anchor vs active trend persistence</x:t>
        </x:is>
      </x:c>
      <x:c r="H50" s="20" t="inlineStr">
        <x:is>
          <x:t xml:space="preserve">Simple proxy for calm vs active tape</x:t>
        </x:is>
      </x:c>
    </x:row>
    <x:row r="51">
      <x:c r="A51" s="20" t="inlineStr">
        <x:is>
          <x:t xml:space="preserve">Temporal Step1</x:t>
        </x:is>
      </x:c>
      <x:c r="B51" s="20" t="inlineStr">
        <x:is>
          <x:t xml:space="preserve">R48</x:t>
        </x:is>
      </x:c>
      <x:c r="C51" s="20" t="inlineStr">
        <x:is>
          <x:t xml:space="preserve">Next expiry timestamp</x:t>
        </x:is>
      </x:c>
      <x:c r="D51" s="20" t="inlineStr">
        <x:is>
          <x:t xml:space="preserve">datetime</x:t>
        </x:is>
      </x:c>
      <x:c r="E51" s="20" t="inlineStr">
        <x:is>
          <x:t xml:space="preserve">Nearest relevant listed-expiry anchor</x:t>
        </x:is>
      </x:c>
      <x:c r="F51" s="20" t="inlineStr">
        <x:is>
          <x:t xml:space="preserve">calendar / options calendar</x:t>
        </x:is>
      </x:c>
      <x:c r="G51" s="20" t="inlineStr">
        <x:is>
          <x:t xml:space="preserve">Needed for expiry-cycle state without pulling in options-flow outputs</x:t>
        </x:is>
      </x:c>
      <x:c r="H51" s="20" t="inlineStr">
        <x:is>
          <x:t xml:space="preserve">Calendar only</x:t>
        </x:is>
      </x:c>
    </x:row>
    <x:row r="52">
      <x:c r="A52" s="20" t="inlineStr">
        <x:is>
          <x:t xml:space="preserve">Temporal Step1</x:t>
        </x:is>
      </x:c>
      <x:c r="B52" s="20" t="inlineStr">
        <x:is>
          <x:t xml:space="preserve">R49</x:t>
        </x:is>
      </x:c>
      <x:c r="C52" s="20" t="inlineStr">
        <x:is>
          <x:t xml:space="preserve">Next event timestamp</x:t>
        </x:is>
      </x:c>
      <x:c r="D52" s="20" t="inlineStr">
        <x:is>
          <x:t xml:space="preserve">datetime</x:t>
        </x:is>
      </x:c>
      <x:c r="E52" s="20" t="inlineStr">
        <x:is>
          <x:t xml:space="preserve">Nearest known event/catalyst anchor</x:t>
        </x:is>
      </x:c>
      <x:c r="F52" s="20" t="inlineStr">
        <x:is>
          <x:t xml:space="preserve">calendar / event schedule</x:t>
        </x:is>
      </x:c>
      <x:c r="G52" s="20" t="inlineStr">
        <x:is>
          <x:t xml:space="preserve">Needed for event-window state without using later regime logic</x:t>
        </x:is>
      </x:c>
      <x:c r="H52" s="20" t="inlineStr">
        <x:is>
          <x:t xml:space="preserve">Calendar only</x:t>
        </x:is>
      </x:c>
    </x:row>
    <x:row r="53">
      <x:c r="A53" s="20" t="inlineStr">
        <x:is>
          <x:t xml:space="preserve">Temporal Step1</x:t>
        </x:is>
      </x:c>
      <x:c r="B53" s="20" t="inlineStr">
        <x:is>
          <x:t xml:space="preserve">R50</x:t>
        </x:is>
      </x:c>
      <x:c r="C53" s="20" t="inlineStr">
        <x:is>
          <x:t xml:space="preserve">Bid-ask spread</x:t>
        </x:is>
      </x:c>
      <x:c r="D53" s="20" t="inlineStr">
        <x:is>
          <x:t xml:space="preserve">bps</x:t>
        </x:is>
      </x:c>
      <x:c r="E53" s="20" t="inlineStr">
        <x:is>
          <x:t xml:space="preserve">Current spread / liquidity cost proxy</x:t>
        </x:is>
      </x:c>
      <x:c r="F53" s="20" t="inlineStr">
        <x:is>
          <x:t xml:space="preserve">quote data</x:t>
        </x:is>
      </x:c>
      <x:c r="G53" s="20" t="inlineStr">
        <x:is>
          <x:t xml:space="preserve">Optional but useful for disorder and close-stress detection</x:t>
        </x:is>
      </x:c>
      <x:c r="H53" s="20" t="inlineStr">
        <x:is>
          <x:t xml:space="preserve">Optional v2 field</x:t>
        </x:is>
      </x:c>
    </x:row>
    <x:row r="54">
      <x:c r="A54" s="20" t="inlineStr">
        <x:is>
          <x:t xml:space="preserve">Temporal Step1</x:t>
        </x:is>
      </x:c>
      <x:c r="B54" s="20" t="inlineStr">
        <x:is>
          <x:t xml:space="preserve">R51</x:t>
        </x:is>
      </x:c>
      <x:c r="C54" s="20" t="inlineStr">
        <x:is>
          <x:t xml:space="preserve">Trade count</x:t>
        </x:is>
      </x:c>
      <x:c r="D54" s="20" t="inlineStr">
        <x:is>
          <x:t xml:space="preserve">count / 30s</x:t>
        </x:is>
      </x:c>
      <x:c r="E54" s="20" t="inlineStr">
        <x:is>
          <x:t xml:space="preserve">Number of prints in current bucket</x:t>
        </x:is>
      </x:c>
      <x:c r="F54" s="20" t="inlineStr">
        <x:is>
          <x:t xml:space="preserve">trade tape</x:t>
        </x:is>
      </x:c>
      <x:c r="G54" s="20" t="inlineStr">
        <x:is>
          <x:t xml:space="preserve">Optional participation-quality input</x:t>
        </x:is>
      </x:c>
      <x:c r="H54" s="20" t="inlineStr">
        <x:is>
          <x:t xml:space="preserve">Optional v2 field</x:t>
        </x:is>
      </x:c>
    </x:row>
    <x:row r="55">
      <x:c r="A55" s="20" t="inlineStr">
        <x:is>
          <x:t xml:space="preserve">Temporal Step1</x:t>
        </x:is>
      </x:c>
      <x:c r="B55" s="20" t="inlineStr">
        <x:is>
          <x:t xml:space="preserve">R52</x:t>
        </x:is>
      </x:c>
      <x:c r="C55" s="20" t="inlineStr">
        <x:is>
          <x:t xml:space="preserve">Close imbalance proxy</x:t>
        </x:is>
      </x:c>
      <x:c r="D55" s="20" t="inlineStr">
        <x:is>
          <x:t xml:space="preserve">signed ratio</x:t>
        </x:is>
      </x:c>
      <x:c r="E55" s="20" t="inlineStr">
        <x:is>
          <x:t xml:space="preserve">Late-session auction / imbalance pressure proxy</x:t>
        </x:is>
      </x:c>
      <x:c r="F55" s="20" t="inlineStr">
        <x:is>
          <x:t xml:space="preserve">auction / imbalance feed</x:t>
        </x:is>
      </x:c>
      <x:c r="G55" s="20" t="inlineStr">
        <x:is>
          <x:t xml:space="preserve">Optional close-window refinement</x:t>
        </x:is>
      </x:c>
      <x:c r="H55" s="20" t="inlineStr">
        <x:is>
          <x:t xml:space="preserve">Optional v2 field</x:t>
        </x:is>
      </x:c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fb2869b688e44a3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5" customWidth="1"/>
    <x:col min="6" max="6" width="12" customWidth="1"/>
    <x:col min="7" max="7" width="12" customWidth="1"/>
    <x:col min="8" max="8" width="10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0" customWidth="1"/>
    <x:col min="28" max="28" width="12" customWidth="1"/>
    <x:col min="29" max="29" width="10" customWidth="1"/>
  </x:cols>
  <x:sheetData>
    <x:row r="1">
      <x:c r="A1" s="1" t="inlineStr">
        <x:is>
          <x:t xml:space="preserve">Anchor Data (Web-Seeded + Synthetic Expansion)</x:t>
        </x:is>
      </x:c>
    </x:row>
    <x:row r="2">
      <x:c r="A2" s="22" t="inlineStr">
        <x:is>
          <x:t xml:space="preserve">March 2026 live web baseline blended into the anchor surface. Unresolved options-chain / breadth internals remain synthetic placeholders for now.</x:t>
        </x:is>
      </x:c>
      <x:c r="B2" t="n"/>
    </x:row>
    <x:row r="4">
      <x:c r="A4" s="15" t="inlineStr">
        <x:is>
          <x:t xml:space="preserve">Date</x:t>
        </x:is>
      </x:c>
      <x:c r="B4" s="15" t="inlineStr">
        <x:is>
          <x:t xml:space="preserve">NVDA_Close</x:t>
        </x:is>
      </x:c>
      <x:c r="C4" s="15" t="inlineStr">
        <x:is>
          <x:t xml:space="preserve">NVDA_High</x:t>
        </x:is>
      </x:c>
      <x:c r="D4" s="15" t="inlineStr">
        <x:is>
          <x:t xml:space="preserve">NVDA_Low</x:t>
        </x:is>
      </x:c>
      <x:c r="E4" s="15" t="inlineStr">
        <x:is>
          <x:t xml:space="preserve">NVDA_Volume_M</x:t>
        </x:is>
      </x:c>
      <x:c r="F4" s="15" t="inlineStr">
        <x:is>
          <x:t xml:space="preserve">ES</x:t>
        </x:is>
      </x:c>
      <x:c r="G4" s="15" t="inlineStr">
        <x:is>
          <x:t xml:space="preserve">NQ</x:t>
        </x:is>
      </x:c>
      <x:c r="H4" s="15" t="inlineStr">
        <x:is>
          <x:t xml:space="preserve">XLK</x:t>
        </x:is>
      </x:c>
      <x:c r="I4" s="15" t="inlineStr">
        <x:is>
          <x:t xml:space="preserve">SOX</x:t>
        </x:is>
      </x:c>
      <x:c r="J4" s="15" t="inlineStr">
        <x:is>
          <x:t xml:space="preserve">NKY</x:t>
        </x:is>
      </x:c>
      <x:c r="K4" s="15" t="inlineStr">
        <x:is>
          <x:t xml:space="preserve">HSI</x:t>
        </x:is>
      </x:c>
      <x:c r="L4" s="15" t="inlineStr">
        <x:is>
          <x:t xml:space="preserve">HSTECH</x:t>
        </x:is>
      </x:c>
      <x:c r="M4" s="15" t="inlineStr">
        <x:is>
          <x:t xml:space="preserve">VIX</x:t>
        </x:is>
      </x:c>
      <x:c r="N4" s="15" t="inlineStr">
        <x:is>
          <x:t xml:space="preserve">VVIX</x:t>
        </x:is>
      </x:c>
      <x:c r="O4" s="15" t="inlineStr">
        <x:is>
          <x:t xml:space="preserve">VIX9D</x:t>
        </x:is>
      </x:c>
      <x:c r="P4" s="15" t="inlineStr">
        <x:is>
          <x:t xml:space="preserve">SKEW</x:t>
        </x:is>
      </x:c>
      <x:c r="Q4" s="15" t="inlineStr">
        <x:is>
          <x:t xml:space="preserve">US10Y_bp</x:t>
        </x:is>
      </x:c>
      <x:c r="R4" s="15" t="inlineStr">
        <x:is>
          <x:t xml:space="preserve">US2Y_bp</x:t>
        </x:is>
      </x:c>
      <x:c r="S4" s="15" t="inlineStr">
        <x:is>
          <x:t xml:space="preserve">USDJPY</x:t>
        </x:is>
      </x:c>
      <x:c r="T4" s="15" t="inlineStr">
        <x:is>
          <x:t xml:space="preserve">SPX_Breadth</x:t>
        </x:is>
      </x:c>
      <x:c r="U4" s="15" t="inlineStr">
        <x:is>
          <x:t xml:space="preserve">NDX_Breadth</x:t>
        </x:is>
      </x:c>
      <x:c r="V4" s="15" t="inlineStr">
        <x:is>
          <x:t xml:space="preserve">SOX_Breadth</x:t>
        </x:is>
      </x:c>
      <x:c r="W4" s="15" t="inlineStr">
        <x:is>
          <x:t xml:space="preserve">Dealer_Gamma</x:t>
        </x:is>
      </x:c>
      <x:c r="X4" s="15" t="inlineStr">
        <x:is>
          <x:t xml:space="preserve">Gamma_Conc</x:t>
        </x:is>
      </x:c>
      <x:c r="Y4" s="15" t="inlineStr">
        <x:is>
          <x:t xml:space="preserve">ATM_IV</x:t>
        </x:is>
      </x:c>
      <x:c r="Z4" s="15" t="inlineStr">
        <x:is>
          <x:t xml:space="preserve">Term_Slope</x:t>
        </x:is>
      </x:c>
      <x:c r="AA4" s="15" t="inlineStr">
        <x:is>
          <x:t xml:space="preserve">Skew_Slope</x:t>
        </x:is>
      </x:c>
      <x:c r="AB4" s="15" t="inlineStr">
        <x:is>
          <x:t xml:space="preserve">CallPut_Imbal</x:t>
        </x:is>
      </x:c>
      <x:c r="AC4" s="15" t="inlineStr">
        <x:is>
          <x:t xml:space="preserve">OI_Conc</x:t>
        </x:is>
      </x:c>
      <x:c r="AD4" s="15" t="inlineStr">
        <x:is>
          <x:t xml:space="preserve">RV20d</x:t>
        </x:is>
      </x:c>
      <x:c r="AE4" s="15" t="inlineStr">
        <x:is>
          <x:t xml:space="preserve">Event_Flag</x:t>
        </x:is>
      </x:c>
    </x:row>
    <x:row r="5">
      <x:c r="A5" s="43" t="n">
        <x:v>46023</x:v>
      </x:c>
      <x:c r="B5" s="44" t="n">
        <x:v>188.726087</x:v>
      </x:c>
      <x:c r="C5" s="44" t="n">
        <x:v>198.383043</x:v>
      </x:c>
      <x:c r="D5" s="44" t="n">
        <x:v>174.361884</x:v>
      </x:c>
      <x:c r="E5" s="25" t="n">
        <x:v>900</x:v>
      </x:c>
      <x:c r="F5" s="18" t="n">
        <x:v>6513.264651</x:v>
      </x:c>
      <x:c r="G5" s="18" t="n">
        <x:v>23869.73365</x:v>
      </x:c>
      <x:c r="H5" s="18" t="n">
        <x:v>141.780288</x:v>
      </x:c>
      <x:c r="I5" s="18" t="n">
        <x:v>8001.573626</x:v>
      </x:c>
      <x:c r="J5" s="18" t="n">
        <x:v>54863.656109</x:v>
      </x:c>
      <x:c r="K5" s="18" t="n">
        <x:v>25733.689928</x:v>
      </x:c>
      <x:c r="L5" s="18" t="n">
        <x:v>4854.821829</x:v>
      </x:c>
      <x:c r="M5" s="44" t="n">
        <x:v>21.313011</x:v>
      </x:c>
      <x:c r="N5" s="44" t="n">
        <x:v>121.534615</x:v>
      </x:c>
      <x:c r="O5" s="44" t="n">
        <x:v>18.966458</x:v>
      </x:c>
      <x:c r="P5" s="18" t="n">
        <x:v>147.146944</x:v>
      </x:c>
      <x:c r="Q5" s="25" t="n">
        <x:v>431.085919</x:v>
      </x:c>
      <x:c r="R5" s="25" t="n">
        <x:v>382.780549</x:v>
      </x:c>
      <x:c r="S5" s="44" t="n">
        <x:v>160.417799</x:v>
      </x:c>
      <x:c r="T5" s="45" t="n">
        <x:v>0.53</x:v>
      </x:c>
      <x:c r="U5" s="45" t="n">
        <x:v>0.55</x:v>
      </x:c>
      <x:c r="V5" s="45" t="n">
        <x:v>0.57</x:v>
      </x:c>
      <x:c r="W5" s="19" t="n">
        <x:v>0.15</x:v>
      </x:c>
      <x:c r="X5" s="19" t="n">
        <x:v>0.42</x:v>
      </x:c>
      <x:c r="Y5" s="19" t="n">
        <x:v>0.42</x:v>
      </x:c>
      <x:c r="Z5" s="19" t="n">
        <x:v>0.03</x:v>
      </x:c>
      <x:c r="AA5" s="19" t="n">
        <x:v>0.11</x:v>
      </x:c>
      <x:c r="AB5" s="19" t="n">
        <x:v>0.08</x:v>
      </x:c>
      <x:c r="AC5" s="19" t="n">
        <x:v>0.47</x:v>
      </x:c>
      <x:c r="AD5" s="19" t="n">
        <x:v>0.38</x:v>
      </x:c>
      <x:c r="AE5" s="18" t="n">
        <x:v>0</x:v>
      </x:c>
    </x:row>
    <x:row r="6">
      <x:c r="A6" s="43" t="n">
        <x:v>46054</x:v>
      </x:c>
      <x:c r="B6" s="44" t="n">
        <x:v>195.466304</x:v>
      </x:c>
      <x:c r="C6" s="44" t="n">
        <x:v>205.468152</x:v>
      </x:c>
      <x:c r="D6" s="44" t="n">
        <x:v>180.589094</x:v>
      </x:c>
      <x:c r="E6" s="25" t="n">
        <x:v>935</x:v>
      </x:c>
      <x:c r="F6" s="18" t="n">
        <x:v>6594.680459</x:v>
      </x:c>
      <x:c r="G6" s="18" t="n">
        <x:v>24367.019768</x:v>
      </x:c>
      <x:c r="H6" s="18" t="n">
        <x:v>143.130577</x:v>
      </x:c>
      <x:c r="I6" s="18" t="n">
        <x:v>8140.731429</x:v>
      </x:c>
      <x:c r="J6" s="18" t="n">
        <x:v>55520.705882</x:v>
      </x:c>
      <x:c r="K6" s="18" t="n">
        <x:v>25993.31766</x:v>
      </x:c>
      <x:c r="L6" s="18" t="n">
        <x:v>4935.248095</x:v>
      </x:c>
      <x:c r="M6" s="44" t="n">
        <x:v>21.852581</x:v>
      </x:c>
      <x:c r="N6" s="44" t="n">
        <x:v>124.235385</x:v>
      </x:c>
      <x:c r="O6" s="44" t="n">
        <x:v>19.602917</x:v>
      </x:c>
      <x:c r="P6" s="18" t="n">
        <x:v>148.205556</x:v>
      </x:c>
      <x:c r="Q6" s="25" t="n">
        <x:v>434.128878</x:v>
      </x:c>
      <x:c r="R6" s="25" t="n">
        <x:v>385.61596</x:v>
      </x:c>
      <x:c r="S6" s="44" t="n">
        <x:v>161.295598</x:v>
      </x:c>
      <x:c r="T6" s="45" t="n">
        <x:v>0.5600000000000001</x:v>
      </x:c>
      <x:c r="U6" s="45" t="n">
        <x:v>0.58</x:v>
      </x:c>
      <x:c r="V6" s="45" t="n">
        <x:v>0.59</x:v>
      </x:c>
      <x:c r="W6" s="19" t="n">
        <x:v>0.1</x:v>
      </x:c>
      <x:c r="X6" s="19" t="n">
        <x:v>0.44</x:v>
      </x:c>
      <x:c r="Y6" s="19" t="n">
        <x:v>0.4</x:v>
      </x:c>
      <x:c r="Z6" s="19" t="n">
        <x:v>0.02</x:v>
      </x:c>
      <x:c r="AA6" s="19" t="n">
        <x:v>0.1</x:v>
      </x:c>
      <x:c r="AB6" s="19" t="n">
        <x:v>0.06</x:v>
      </x:c>
      <x:c r="AC6" s="19" t="n">
        <x:v>0.48</x:v>
      </x:c>
      <x:c r="AD6" s="19" t="n">
        <x:v>0.36</x:v>
      </x:c>
      <x:c r="AE6" s="18" t="n">
        <x:v>0</x:v>
      </x:c>
    </x:row>
    <x:row r="7">
      <x:c r="A7" s="54" t="n">
        <x:v>46082</x:v>
      </x:c>
      <x:c r="B7" s="55" t="n">
        <x:v>186.03</x:v>
      </x:c>
      <x:c r="C7" s="55" t="n">
        <x:v>195.549</x:v>
      </x:c>
      <x:c r="D7" s="55" t="n">
        <x:v>171.871</x:v>
      </x:c>
      <x:c r="E7" s="56" t="n">
        <x:v>970</x:v>
      </x:c>
      <x:c r="F7" s="57" t="n">
        <x:v>6506.48</x:v>
      </x:c>
      <x:c r="G7" s="57" t="n">
        <x:v>23898.15</x:v>
      </x:c>
      <x:c r="H7" s="57" t="n">
        <x:v>140.43</x:v>
      </x:c>
      <x:c r="I7" s="57" t="n">
        <x:v>7914.6</x:v>
      </x:c>
      <x:c r="J7" s="57" t="n">
        <x:v>54453</x:v>
      </x:c>
      <x:c r="K7" s="57" t="n">
        <x:v>25321.34</x:v>
      </x:c>
      <x:c r="L7" s="57" t="n">
        <x:v>4796.33</x:v>
      </x:c>
      <x:c r="M7" s="55" t="n">
        <x:v>25.09</x:v>
      </x:c>
      <x:c r="N7" s="55" t="n">
        <x:v>140.44</x:v>
      </x:c>
      <x:c r="O7" s="55" t="n">
        <x:v>24.44</x:v>
      </x:c>
      <x:c r="P7" s="57" t="n">
        <x:v>152.44</x:v>
      </x:c>
      <x:c r="Q7" s="56" t="n">
        <x:v>425</x:v>
      </x:c>
      <x:c r="R7" s="56" t="n">
        <x:v>379</x:v>
      </x:c>
      <x:c r="S7" s="55" t="n">
        <x:v>159.54</x:v>
      </x:c>
      <x:c r="T7" s="58" t="n">
        <x:v>0.44</x:v>
      </x:c>
      <x:c r="U7" s="58" t="n">
        <x:v>0.42</x:v>
      </x:c>
      <x:c r="V7" s="58" t="n">
        <x:v>0.4</x:v>
      </x:c>
      <x:c r="W7" s="59" t="n">
        <x:v>-0.35</x:v>
      </x:c>
      <x:c r="X7" s="59" t="n">
        <x:v>0.39</x:v>
      </x:c>
      <x:c r="Y7" s="59" t="n">
        <x:v>0.46</x:v>
      </x:c>
      <x:c r="Z7" s="59" t="n">
        <x:v>0.06</x:v>
      </x:c>
      <x:c r="AA7" s="59" t="n">
        <x:v>0.15</x:v>
      </x:c>
      <x:c r="AB7" s="59" t="n">
        <x:v>-0.14</x:v>
      </x:c>
      <x:c r="AC7" s="59" t="n">
        <x:v>0.45</x:v>
      </x:c>
      <x:c r="AD7" s="59" t="n">
        <x:v>0.43</x:v>
      </x:c>
      <x:c r="AE7" s="57" t="n">
        <x:v>1</x:v>
      </x:c>
    </x:row>
    <x:row r="8">
      <x:c r="A8" s="43" t="n">
        <x:v>46113</x:v>
      </x:c>
      <x:c r="B8" s="44" t="n">
        <x:v>199.510435</x:v>
      </x:c>
      <x:c r="C8" s="44" t="n">
        <x:v>209.719217</x:v>
      </x:c>
      <x:c r="D8" s="44" t="n">
        <x:v>184.32542</x:v>
      </x:c>
      <x:c r="E8" s="25" t="n">
        <x:v>1005</x:v>
      </x:c>
      <x:c r="F8" s="18" t="n">
        <x:v>6662.526966</x:v>
      </x:c>
      <x:c r="G8" s="18" t="n">
        <x:v>24921.138585</x:v>
      </x:c>
      <x:c r="H8" s="18" t="n">
        <x:v>145.831154</x:v>
      </x:c>
      <x:c r="I8" s="18" t="n">
        <x:v>8332.073407</x:v>
      </x:c>
      <x:c r="J8" s="18" t="n">
        <x:v>56670.542986</x:v>
      </x:c>
      <x:c r="K8" s="18" t="n">
        <x:v>26176.584294</x:v>
      </x:c>
      <x:c r="L8" s="18" t="n">
        <x:v>4986.428445</x:v>
      </x:c>
      <x:c r="M8" s="44" t="n">
        <x:v>23.066613</x:v>
      </x:c>
      <x:c r="N8" s="44" t="n">
        <x:v>130.987308</x:v>
      </x:c>
      <x:c r="O8" s="44" t="n">
        <x:v>21.385</x:v>
      </x:c>
      <x:c r="P8" s="18" t="n">
        <x:v>150.322778</x:v>
      </x:c>
      <x:c r="Q8" s="25" t="n">
        <x:v>439.200477</x:v>
      </x:c>
      <x:c r="R8" s="25" t="n">
        <x:v>389.396509</x:v>
      </x:c>
      <x:c r="S8" s="44" t="n">
        <x:v>162.502572</x:v>
      </x:c>
      <x:c r="T8" s="45" t="n">
        <x:v>0.58</x:v>
      </x:c>
      <x:c r="U8" s="45" t="n">
        <x:v>0.6</x:v>
      </x:c>
      <x:c r="V8" s="45" t="n">
        <x:v>0.62</x:v>
      </x:c>
      <x:c r="W8" s="19" t="n">
        <x:v>-0.05</x:v>
      </x:c>
      <x:c r="X8" s="19" t="n">
        <x:v>0.46</x:v>
      </x:c>
      <x:c r="Y8" s="19" t="n">
        <x:v>0.43</x:v>
      </x:c>
      <x:c r="Z8" s="19" t="n">
        <x:v>0.04</x:v>
      </x:c>
      <x:c r="AA8" s="19" t="n">
        <x:v>0.13</x:v>
      </x:c>
      <x:c r="AB8" s="19" t="n">
        <x:v>0.02</x:v>
      </x:c>
      <x:c r="AC8" s="19" t="n">
        <x:v>0.5</x:v>
      </x:c>
      <x:c r="AD8" s="19" t="n">
        <x:v>0.4</x:v>
      </x:c>
      <x:c r="AE8" s="18" t="n">
        <x:v>0</x:v>
      </x:c>
    </x:row>
    <x:row r="9">
      <x:c r="A9" s="43" t="n">
        <x:v>46143</x:v>
      </x:c>
      <x:c r="B9" s="44" t="n">
        <x:v>207.598696</x:v>
      </x:c>
      <x:c r="C9" s="44" t="n">
        <x:v>218.221348</x:v>
      </x:c>
      <x:c r="D9" s="44" t="n">
        <x:v>191.798072</x:v>
      </x:c>
      <x:c r="E9" s="25" t="n">
        <x:v>1040</x:v>
      </x:c>
      <x:c r="F9" s="18" t="n">
        <x:v>6791.435328</x:v>
      </x:c>
      <x:c r="G9" s="18" t="n">
        <x:v>25588.9228</x:v>
      </x:c>
      <x:c r="H9" s="18" t="n">
        <x:v>148.531731</x:v>
      </x:c>
      <x:c r="I9" s="18" t="n">
        <x:v>8506.020659</x:v>
      </x:c>
      <x:c r="J9" s="18" t="n">
        <x:v>57656.117647</x:v>
      </x:c>
      <x:c r="K9" s="18" t="n">
        <x:v>26588.934222</x:v>
      </x:c>
      <x:c r="L9" s="18" t="n">
        <x:v>5074.166189</x:v>
      </x:c>
      <x:c r="M9" s="44" t="n">
        <x:v>22.122366</x:v>
      </x:c>
      <x:c r="N9" s="44" t="n">
        <x:v>128.286538</x:v>
      </x:c>
      <x:c r="O9" s="44" t="n">
        <x:v>20.239375</x:v>
      </x:c>
      <x:c r="P9" s="18" t="n">
        <x:v>149.264167</x:v>
      </x:c>
      <x:c r="Q9" s="25" t="n">
        <x:v>445.286396</x:v>
      </x:c>
      <x:c r="R9" s="25" t="n">
        <x:v>394.122195</x:v>
      </x:c>
      <x:c r="S9" s="44" t="n">
        <x:v>163.819271</x:v>
      </x:c>
      <x:c r="T9" s="45" t="n">
        <x:v>0.6</x:v>
      </x:c>
      <x:c r="U9" s="45" t="n">
        <x:v>0.63</x:v>
      </x:c>
      <x:c r="V9" s="45" t="n">
        <x:v>0.65</x:v>
      </x:c>
      <x:c r="W9" s="19" t="n">
        <x:v>0.05</x:v>
      </x:c>
      <x:c r="X9" s="19" t="n">
        <x:v>0.49</x:v>
      </x:c>
      <x:c r="Y9" s="19" t="n">
        <x:v>0.41</x:v>
      </x:c>
      <x:c r="Z9" s="19" t="n">
        <x:v>0.03</x:v>
      </x:c>
      <x:c r="AA9" s="19" t="n">
        <x:v>0.12</x:v>
      </x:c>
      <x:c r="AB9" s="19" t="n">
        <x:v>0.05</x:v>
      </x:c>
      <x:c r="AC9" s="19" t="n">
        <x:v>0.52</x:v>
      </x:c>
      <x:c r="AD9" s="19" t="n">
        <x:v>0.39</x:v>
      </x:c>
      <x:c r="AE9" s="18" t="n">
        <x:v>0</x:v>
      </x:c>
    </x:row>
    <x:row r="10">
      <x:c r="A10" s="43" t="n">
        <x:v>46174</x:v>
      </x:c>
      <x:c r="B10" s="44" t="n">
        <x:v>215.686957</x:v>
      </x:c>
      <x:c r="C10" s="44" t="n">
        <x:v>226.723478</x:v>
      </x:c>
      <x:c r="D10" s="44" t="n">
        <x:v>199.270725</x:v>
      </x:c>
      <x:c r="E10" s="25" t="n">
        <x:v>1075</x:v>
      </x:c>
      <x:c r="F10" s="18" t="n">
        <x:v>6886.420438</x:v>
      </x:c>
      <x:c r="G10" s="18" t="n">
        <x:v>26086.208918</x:v>
      </x:c>
      <x:c r="H10" s="18" t="n">
        <x:v>151.232308</x:v>
      </x:c>
      <x:c r="I10" s="18" t="n">
        <x:v>8662.573187</x:v>
      </x:c>
      <x:c r="J10" s="18" t="n">
        <x:v>58559.561086</x:v>
      </x:c>
      <x:c r="K10" s="18" t="n">
        <x:v>26909.650832</x:v>
      </x:c>
      <x:c r="L10" s="18" t="n">
        <x:v>5147.280976</x:v>
      </x:c>
      <x:c r="M10" s="44" t="n">
        <x:v>21.178118</x:v>
      </x:c>
      <x:c r="N10" s="44" t="n">
        <x:v>122.885</x:v>
      </x:c>
      <x:c r="O10" s="44" t="n">
        <x:v>19.221042</x:v>
      </x:c>
      <x:c r="P10" s="18" t="n">
        <x:v>147.146944</x:v>
      </x:c>
      <x:c r="Q10" s="25" t="n">
        <x:v>448.329356</x:v>
      </x:c>
      <x:c r="R10" s="25" t="n">
        <x:v>396.012469</x:v>
      </x:c>
      <x:c r="S10" s="44" t="n">
        <x:v>164.587345</x:v>
      </x:c>
      <x:c r="T10" s="45" t="n">
        <x:v>0.61</x:v>
      </x:c>
      <x:c r="U10" s="45" t="n">
        <x:v>0.64</x:v>
      </x:c>
      <x:c r="V10" s="45" t="n">
        <x:v>0.66</x:v>
      </x:c>
      <x:c r="W10" s="19" t="n">
        <x:v>0.1</x:v>
      </x:c>
      <x:c r="X10" s="19" t="n">
        <x:v>0.51</x:v>
      </x:c>
      <x:c r="Y10" s="19" t="n">
        <x:v>0.39</x:v>
      </x:c>
      <x:c r="Z10" s="19" t="n">
        <x:v>0.02</x:v>
      </x:c>
      <x:c r="AA10" s="19" t="n">
        <x:v>0.11</x:v>
      </x:c>
      <x:c r="AB10" s="19" t="n">
        <x:v>0.08</x:v>
      </x:c>
      <x:c r="AC10" s="19" t="n">
        <x:v>0.53</x:v>
      </x:c>
      <x:c r="AD10" s="19" t="n">
        <x:v>0.37</x:v>
      </x:c>
      <x:c r="AE10" s="18" t="n">
        <x:v>0</x:v>
      </x:c>
    </x:row>
    <x:row r="11">
      <x:c r="A11" s="43" t="n">
        <x:v>46204</x:v>
      </x:c>
      <x:c r="B11" s="44" t="n">
        <x:v>223.775217</x:v>
      </x:c>
      <x:c r="C11" s="44" t="n">
        <x:v>235.225609</x:v>
      </x:c>
      <x:c r="D11" s="44" t="n">
        <x:v>206.743377</x:v>
      </x:c>
      <x:c r="E11" s="25" t="n">
        <x:v>1110</x:v>
      </x:c>
      <x:c r="F11" s="18" t="n">
        <x:v>6988.190198</x:v>
      </x:c>
      <x:c r="G11" s="18" t="n">
        <x:v>26682.952259</x:v>
      </x:c>
      <x:c r="H11" s="18" t="n">
        <x:v>153.932885</x:v>
      </x:c>
      <x:c r="I11" s="18" t="n">
        <x:v>8906.099340999999</x:v>
      </x:c>
      <x:c r="J11" s="18" t="n">
        <x:v>59463.004525</x:v>
      </x:c>
      <x:c r="K11" s="18" t="n">
        <x:v>27337.272979</x:v>
      </x:c>
      <x:c r="L11" s="18" t="n">
        <x:v>5264.264634</x:v>
      </x:c>
      <x:c r="M11" s="44" t="n">
        <x:v>20.503656</x:v>
      </x:c>
      <x:c r="N11" s="44" t="n">
        <x:v>120.184231</x:v>
      </x:c>
      <x:c r="O11" s="44" t="n">
        <x:v>18.457292</x:v>
      </x:c>
      <x:c r="P11" s="18" t="n">
        <x:v>146.088333</x:v>
      </x:c>
      <x:c r="Q11" s="25" t="n">
        <x:v>451.372315</x:v>
      </x:c>
      <x:c r="R11" s="25" t="n">
        <x:v>397.902743</x:v>
      </x:c>
      <x:c r="S11" s="44" t="n">
        <x:v>165.904044</x:v>
      </x:c>
      <x:c r="T11" s="45" t="n">
        <x:v>0.63</x:v>
      </x:c>
      <x:c r="U11" s="45" t="n">
        <x:v>0.67</x:v>
      </x:c>
      <x:c r="V11" s="45" t="n">
        <x:v>0.6899999999999999</x:v>
      </x:c>
      <x:c r="W11" s="19" t="n">
        <x:v>0.18</x:v>
      </x:c>
      <x:c r="X11" s="19" t="n">
        <x:v>0.54</x:v>
      </x:c>
      <x:c r="Y11" s="19" t="n">
        <x:v>0.38</x:v>
      </x:c>
      <x:c r="Z11" s="19" t="n">
        <x:v>0.01</x:v>
      </x:c>
      <x:c r="AA11" s="19" t="n">
        <x:v>0.1</x:v>
      </x:c>
      <x:c r="AB11" s="19" t="n">
        <x:v>0.12</x:v>
      </x:c>
      <x:c r="AC11" s="19" t="n">
        <x:v>0.55</x:v>
      </x:c>
      <x:c r="AD11" s="19" t="n">
        <x:v>0.35</x:v>
      </x:c>
      <x:c r="AE11" s="18" t="n">
        <x:v>0</x:v>
      </x:c>
    </x:row>
    <x:row r="12">
      <x:c r="A12" s="43" t="n">
        <x:v>46235</x:v>
      </x:c>
      <x:c r="B12" s="44" t="n">
        <x:v>230.515435</x:v>
      </x:c>
      <x:c r="C12" s="44" t="n">
        <x:v>242.310717</x:v>
      </x:c>
      <x:c r="D12" s="44" t="n">
        <x:v>212.970587</x:v>
      </x:c>
      <x:c r="E12" s="25" t="n">
        <x:v>1145</x:v>
      </x:c>
      <x:c r="F12" s="18" t="n">
        <x:v>7049.252054</x:v>
      </x:c>
      <x:c r="G12" s="18" t="n">
        <x:v>27052.364804</x:v>
      </x:c>
      <x:c r="H12" s="18" t="n">
        <x:v>155.958317</x:v>
      </x:c>
      <x:c r="I12" s="18" t="n">
        <x:v>9062.651868000001</x:v>
      </x:c>
      <x:c r="J12" s="18" t="n">
        <x:v>60120.054299</x:v>
      </x:c>
      <x:c r="K12" s="18" t="n">
        <x:v>27673.261809</x:v>
      </x:c>
      <x:c r="L12" s="18" t="n">
        <x:v>5344.690899</x:v>
      </x:c>
      <x:c r="M12" s="44" t="n">
        <x:v>20.098978</x:v>
      </x:c>
      <x:c r="N12" s="44" t="n">
        <x:v>118.833846</x:v>
      </x:c>
      <x:c r="O12" s="44" t="n">
        <x:v>18.075417</x:v>
      </x:c>
      <x:c r="P12" s="18" t="n">
        <x:v>145.029722</x:v>
      </x:c>
      <x:c r="Q12" s="25" t="n">
        <x:v>453.400955</x:v>
      </x:c>
      <x:c r="R12" s="25" t="n">
        <x:v>399.793017</x:v>
      </x:c>
      <x:c r="S12" s="44" t="n">
        <x:v>166.562393</x:v>
      </x:c>
      <x:c r="T12" s="45" t="n">
        <x:v>0.64</x:v>
      </x:c>
      <x:c r="U12" s="45" t="n">
        <x:v>0.68</x:v>
      </x:c>
      <x:c r="V12" s="45" t="n">
        <x:v>0.7</x:v>
      </x:c>
      <x:c r="W12" s="19" t="n">
        <x:v>0.2</x:v>
      </x:c>
      <x:c r="X12" s="19" t="n">
        <x:v>0.5600000000000001</x:v>
      </x:c>
      <x:c r="Y12" s="19" t="n">
        <x:v>0.37</x:v>
      </x:c>
      <x:c r="Z12" s="19" t="n">
        <x:v>0.01</x:v>
      </x:c>
      <x:c r="AA12" s="19" t="n">
        <x:v>0.1</x:v>
      </x:c>
      <x:c r="AB12" s="19" t="n">
        <x:v>0.14</x:v>
      </x:c>
      <x:c r="AC12" s="19" t="n">
        <x:v>0.57</x:v>
      </x:c>
      <x:c r="AD12" s="19" t="n">
        <x:v>0.34</x:v>
      </x:c>
      <x:c r="AE12" s="18" t="n">
        <x:v>0</x:v>
      </x:c>
    </x:row>
    <x:row r="13">
      <x:c r="A13" s="43" t="n">
        <x:v>46266</x:v>
      </x:c>
      <x:c r="B13" s="44" t="n">
        <x:v>226.471304</x:v>
      </x:c>
      <x:c r="C13" s="44" t="n">
        <x:v>238.059652</x:v>
      </x:c>
      <x:c r="D13" s="44" t="n">
        <x:v>209.234261</x:v>
      </x:c>
      <x:c r="E13" s="25" t="n">
        <x:v>1180</x:v>
      </x:c>
      <x:c r="F13" s="18" t="n">
        <x:v>6974.620897</x:v>
      </x:c>
      <x:c r="G13" s="18" t="n">
        <x:v>26597.70321</x:v>
      </x:c>
      <x:c r="H13" s="18" t="n">
        <x:v>154.608029</x:v>
      </x:c>
      <x:c r="I13" s="18" t="n">
        <x:v>8975.678242</x:v>
      </x:c>
      <x:c r="J13" s="18" t="n">
        <x:v>59052.348416</x:v>
      </x:c>
      <x:c r="K13" s="18" t="n">
        <x:v>27108.189686</x:v>
      </x:c>
      <x:c r="L13" s="18" t="n">
        <x:v>5235.01872</x:v>
      </x:c>
      <x:c r="M13" s="44" t="n">
        <x:v>22.661935</x:v>
      </x:c>
      <x:c r="N13" s="44" t="n">
        <x:v>129.636923</x:v>
      </x:c>
      <x:c r="O13" s="44" t="n">
        <x:v>22.785208</x:v>
      </x:c>
      <x:c r="P13" s="18" t="n">
        <x:v>149.264167</x:v>
      </x:c>
      <x:c r="Q13" s="25" t="n">
        <x:v>446.300716</x:v>
      </x:c>
      <x:c r="R13" s="25" t="n">
        <x:v>395.067332</x:v>
      </x:c>
      <x:c r="S13" s="44" t="n">
        <x:v>165.026245</x:v>
      </x:c>
      <x:c r="T13" s="45" t="n">
        <x:v>0.51</x:v>
      </x:c>
      <x:c r="U13" s="45" t="n">
        <x:v>0.52</x:v>
      </x:c>
      <x:c r="V13" s="45" t="n">
        <x:v>0.54</x:v>
      </x:c>
      <x:c r="W13" s="19" t="n">
        <x:v>-0.1</x:v>
      </x:c>
      <x:c r="X13" s="19" t="n">
        <x:v>0.48</x:v>
      </x:c>
      <x:c r="Y13" s="19" t="n">
        <x:v>0.41</x:v>
      </x:c>
      <x:c r="Z13" s="19" t="n">
        <x:v>0.04</x:v>
      </x:c>
      <x:c r="AA13" s="19" t="n">
        <x:v>0.12</x:v>
      </x:c>
      <x:c r="AB13" s="19" t="n">
        <x:v>0</x:v>
      </x:c>
      <x:c r="AC13" s="19" t="n">
        <x:v>0.51</x:v>
      </x:c>
      <x:c r="AD13" s="19" t="n">
        <x:v>0.38</x:v>
      </x:c>
      <x:c r="AE13" s="18" t="n">
        <x:v>1</x:v>
      </x:c>
    </x:row>
    <x:row r="14">
      <x:c r="A14" s="43" t="n">
        <x:v>46296</x:v>
      </x:c>
      <x:c r="B14" s="44" t="n">
        <x:v>237.255652</x:v>
      </x:c>
      <x:c r="C14" s="44" t="n">
        <x:v>249.395826</x:v>
      </x:c>
      <x:c r="D14" s="44" t="n">
        <x:v>219.197797</x:v>
      </x:c>
      <x:c r="E14" s="25" t="n">
        <x:v>1215</x:v>
      </x:c>
      <x:c r="F14" s="18" t="n">
        <x:v>7110.31391</x:v>
      </x:c>
      <x:c r="G14" s="18" t="n">
        <x:v>27308.11195</x:v>
      </x:c>
      <x:c r="H14" s="18" t="n">
        <x:v>157.98375</x:v>
      </x:c>
      <x:c r="I14" s="18" t="n">
        <x:v>9184.414945</x:v>
      </x:c>
      <x:c r="J14" s="18" t="n">
        <x:v>60777.104072</x:v>
      </x:c>
      <x:c r="K14" s="18" t="n">
        <x:v>28039.795078</x:v>
      </x:c>
      <x:c r="L14" s="18" t="n">
        <x:v>5425.117165</x:v>
      </x:c>
      <x:c r="M14" s="44" t="n">
        <x:v>21.447903</x:v>
      </x:c>
      <x:c r="N14" s="44" t="n">
        <x:v>124.235385</x:v>
      </x:c>
      <x:c r="O14" s="44" t="n">
        <x:v>19.8575</x:v>
      </x:c>
      <x:c r="P14" s="18" t="n">
        <x:v>147.146944</x:v>
      </x:c>
      <x:c r="Q14" s="25" t="n">
        <x:v>457.458234</x:v>
      </x:c>
      <x:c r="R14" s="25" t="n">
        <x:v>402.628429</x:v>
      </x:c>
      <x:c r="S14" s="44" t="n">
        <x:v>166.891568</x:v>
      </x:c>
      <x:c r="T14" s="45" t="n">
        <x:v>0.62</x:v>
      </x:c>
      <x:c r="U14" s="45" t="n">
        <x:v>0.66</x:v>
      </x:c>
      <x:c r="V14" s="45" t="n">
        <x:v>0.68</x:v>
      </x:c>
      <x:c r="W14" s="19" t="n">
        <x:v>0.12</x:v>
      </x:c>
      <x:c r="X14" s="19" t="n">
        <x:v>0.58</x:v>
      </x:c>
      <x:c r="Y14" s="19" t="n">
        <x:v>0.39</x:v>
      </x:c>
      <x:c r="Z14" s="19" t="n">
        <x:v>0.02</x:v>
      </x:c>
      <x:c r="AA14" s="19" t="n">
        <x:v>0.11</x:v>
      </x:c>
      <x:c r="AB14" s="19" t="n">
        <x:v>0.1</x:v>
      </x:c>
      <x:c r="AC14" s="19" t="n">
        <x:v>0.58</x:v>
      </x:c>
      <x:c r="AD14" s="19" t="n">
        <x:v>0.36</x:v>
      </x:c>
      <x:c r="AE14" s="18" t="n">
        <x:v>0</x:v>
      </x:c>
    </x:row>
    <x:row r="15">
      <x:c r="A15" s="43" t="n">
        <x:v>46327</x:v>
      </x:c>
      <x:c r="B15" s="44" t="n">
        <x:v>248.04</x:v>
      </x:c>
      <x:c r="C15" s="44" t="n">
        <x:v>260.732</x:v>
      </x:c>
      <x:c r="D15" s="44" t="n">
        <x:v>229.161333</x:v>
      </x:c>
      <x:c r="E15" s="25" t="n">
        <x:v>1250</x:v>
      </x:c>
      <x:c r="F15" s="18" t="n">
        <x:v>7205.29902</x:v>
      </x:c>
      <x:c r="G15" s="18" t="n">
        <x:v>27904.855291</x:v>
      </x:c>
      <x:c r="H15" s="18" t="n">
        <x:v>160.684327</x:v>
      </x:c>
      <x:c r="I15" s="18" t="n">
        <x:v>9393.151647999999</x:v>
      </x:c>
      <x:c r="J15" s="18" t="n">
        <x:v>61844.809955</x:v>
      </x:c>
      <x:c r="K15" s="18" t="n">
        <x:v>28467.417226</x:v>
      </x:c>
      <x:c r="L15" s="18" t="n">
        <x:v>5527.477866</x:v>
      </x:c>
      <x:c r="M15" s="44" t="n">
        <x:v>20.368763</x:v>
      </x:c>
      <x:c r="N15" s="44" t="n">
        <x:v>121.534615</x:v>
      </x:c>
      <x:c r="O15" s="44" t="n">
        <x:v>18.839167</x:v>
      </x:c>
      <x:c r="P15" s="18" t="n">
        <x:v>146.088333</x:v>
      </x:c>
      <x:c r="Q15" s="25" t="n">
        <x:v>461.515513</x:v>
      </x:c>
      <x:c r="R15" s="25" t="n">
        <x:v>405.46384</x:v>
      </x:c>
      <x:c r="S15" s="44" t="n">
        <x:v>167.879092</x:v>
      </x:c>
      <x:c r="T15" s="45" t="n">
        <x:v>0.64</x:v>
      </x:c>
      <x:c r="U15" s="45" t="n">
        <x:v>0.68</x:v>
      </x:c>
      <x:c r="V15" s="45" t="n">
        <x:v>0.7</x:v>
      </x:c>
      <x:c r="W15" s="19" t="n">
        <x:v>0.18</x:v>
      </x:c>
      <x:c r="X15" s="19" t="n">
        <x:v>0.6</x:v>
      </x:c>
      <x:c r="Y15" s="19" t="n">
        <x:v>0.38</x:v>
      </x:c>
      <x:c r="Z15" s="19" t="n">
        <x:v>0.01</x:v>
      </x:c>
      <x:c r="AA15" s="19" t="n">
        <x:v>0.1</x:v>
      </x:c>
      <x:c r="AB15" s="19" t="n">
        <x:v>0.12</x:v>
      </x:c>
      <x:c r="AC15" s="19" t="n">
        <x:v>0.6</x:v>
      </x:c>
      <x:c r="AD15" s="19" t="n">
        <x:v>0.35</x:v>
      </x:c>
      <x:c r="AE15" s="18" t="n">
        <x:v>0</x:v>
      </x:c>
    </x:row>
    <x:row r="16">
      <x:c r="A16" s="43" t="n">
        <x:v>46357</x:v>
      </x:c>
      <x:c r="B16" s="44" t="n">
        <x:v>256.128261</x:v>
      </x:c>
      <x:c r="C16" s="44" t="n">
        <x:v>269.23413</x:v>
      </x:c>
      <x:c r="D16" s="44" t="n">
        <x:v>236.633986</x:v>
      </x:c>
      <x:c r="E16" s="25" t="n">
        <x:v>1285</x:v>
      </x:c>
      <x:c r="F16" s="18" t="n">
        <x:v>7300.284129</x:v>
      </x:c>
      <x:c r="G16" s="18" t="n">
        <x:v>28387.933234</x:v>
      </x:c>
      <x:c r="H16" s="18" t="n">
        <x:v>163.384904</x:v>
      </x:c>
      <x:c r="I16" s="18" t="n">
        <x:v>9601.888352</x:v>
      </x:c>
      <x:c r="J16" s="18" t="n">
        <x:v>62748.253394</x:v>
      </x:c>
      <x:c r="K16" s="18" t="n">
        <x:v>28895.039373</x:v>
      </x:c>
      <x:c r="L16" s="18" t="n">
        <x:v>5615.21561</x:v>
      </x:c>
      <x:c r="M16" s="44" t="n">
        <x:v>19.694301</x:v>
      </x:c>
      <x:c r="N16" s="44" t="n">
        <x:v>117.483462</x:v>
      </x:c>
      <x:c r="O16" s="44" t="n">
        <x:v>17.820833</x:v>
      </x:c>
      <x:c r="P16" s="18" t="n">
        <x:v>145.029722</x:v>
      </x:c>
      <x:c r="Q16" s="25" t="n">
        <x:v>464.558473</x:v>
      </x:c>
      <x:c r="R16" s="25" t="n">
        <x:v>408.299252</x:v>
      </x:c>
      <x:c r="S16" s="44" t="n">
        <x:v>169.195791</x:v>
      </x:c>
      <x:c r="T16" s="45" t="n">
        <x:v>0.66</x:v>
      </x:c>
      <x:c r="U16" s="45" t="n">
        <x:v>0.7</x:v>
      </x:c>
      <x:c r="V16" s="45" t="n">
        <x:v>0.72</x:v>
      </x:c>
      <x:c r="W16" s="19" t="n">
        <x:v>0.22</x:v>
      </x:c>
      <x:c r="X16" s="19" t="n">
        <x:v>0.63</x:v>
      </x:c>
      <x:c r="Y16" s="19" t="n">
        <x:v>0.36</x:v>
      </x:c>
      <x:c r="Z16" s="19" t="n">
        <x:v>0.01</x:v>
      </x:c>
      <x:c r="AA16" s="19" t="n">
        <x:v>0.09</x:v>
      </x:c>
      <x:c r="AB16" s="19" t="n">
        <x:v>0.16</x:v>
      </x:c>
      <x:c r="AC16" s="19" t="n">
        <x:v>0.62</x:v>
      </x:c>
      <x:c r="AD16" s="19" t="n">
        <x:v>0.33</x:v>
      </x:c>
      <x:c r="AE16" s="18" t="n">
        <x:v>0</x:v>
      </x:c>
    </x:row>
  </x:sheetData>
  <x:mergeCells>
    <x:mergeCell ref="A1:AC1"/>
  </x:mergeCells>
  <x:pageMargins left="0.7" right="0.7" top="0.75" bottom="0.75" header="0.3" footer="0.3"/>
  <x:legacyDrawing xmlns:r="http://schemas.openxmlformats.org/officeDocument/2006/relationships" r:id="Re09b4ced9a70408c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6" customWidth="1"/>
    <x:col min="4" max="4" width="60" customWidth="1"/>
    <x:col min="5" max="5" width="42" customWidth="1"/>
  </x:cols>
  <x:sheetData>
    <x:row r="1">
      <x:c r="A1" s="60" t="inlineStr">
        <x:is>
          <x:t xml:space="preserve">Live Web Baseline Snapshot</x:t>
        </x:is>
      </x:c>
    </x:row>
    <x:row r="2">
      <x:c r="A2" s="61" t="inlineStr">
        <x:is>
          <x:t xml:space="preserve">Mixture of official and reputable public web sources used only to pull the workbook back into the right postcode.</x:t>
        </x:is>
      </x:c>
    </x:row>
    <x:row r="3">
      <x:c r="A3" s="61" t="inlineStr">
        <x:is>
          <x:t xml:space="preserve">Fields without a clean public baseline feed remain synthetic elsewhere in the workbook.</x:t>
        </x:is>
      </x:c>
    </x:row>
    <x:row r="5">
      <x:c r="A5" s="60" t="inlineStr">
        <x:is>
          <x:t xml:space="preserve">Metric</x:t>
        </x:is>
      </x:c>
      <x:c r="B5" s="60" t="inlineStr">
        <x:is>
          <x:t xml:space="preserve">Value</x:t>
        </x:is>
      </x:c>
      <x:c r="C5" s="60" t="inlineStr">
        <x:is>
          <x:t xml:space="preserve">Observed date</x:t>
        </x:is>
      </x:c>
      <x:c r="D5" s="60" t="inlineStr">
        <x:is>
          <x:t xml:space="preserve">Source</x:t>
        </x:is>
      </x:c>
      <x:c r="E5" s="60" t="inlineStr">
        <x:is>
          <x:t xml:space="preserve">Notes</x:t>
        </x:is>
      </x:c>
    </x:row>
    <x:row r="6">
      <x:c r="A6" t="inlineStr">
        <x:is>
          <x:t xml:space="preserve">NVDA latest close</x:t>
        </x:is>
      </x:c>
      <x:c r="B6" t="n">
        <x:v>186.03</x:v>
      </x:c>
      <x:c r="C6" t="inlineStr">
        <x:is>
          <x:t xml:space="preserve">2026-03-11</x:t>
        </x:is>
      </x:c>
      <x:c r="D6" t="inlineStr">
        <x:is>
          <x:t xml:space="preserve">https://www.macrotrends.net/stocks/charts/NVDA/nvidia/stock-price-history/1000</x:t>
        </x:is>
      </x:c>
      <x:c r="E6" t="inlineStr">
        <x:is>
          <x:t xml:space="preserve">Macrotrends adjusted history page</x:t>
        </x:is>
      </x:c>
    </x:row>
    <x:row r="7">
      <x:c r="A7" t="inlineStr">
        <x:is>
          <x:t xml:space="preserve">NVDA 2026 YTD high</x:t>
        </x:is>
      </x:c>
      <x:c r="B7" t="n">
        <x:v>195.549</x:v>
      </x:c>
      <x:c r="C7" t="inlineStr">
        <x:is>
          <x:t xml:space="preserve">2026-03-11</x:t>
        </x:is>
      </x:c>
      <x:c r="D7" t="inlineStr">
        <x:is>
          <x:t xml:space="preserve">https://www.macrotrends.net/stocks/charts/NVDA/nvidia/stock-price-history/1000</x:t>
        </x:is>
      </x:c>
      <x:c r="E7" t="inlineStr">
        <x:is>
          <x:t xml:space="preserve">Used as ballpark high anchor</x:t>
        </x:is>
      </x:c>
    </x:row>
    <x:row r="8">
      <x:c r="A8" t="inlineStr">
        <x:is>
          <x:t xml:space="preserve">NVDA 2026 YTD low</x:t>
        </x:is>
      </x:c>
      <x:c r="B8" t="n">
        <x:v>171.871</x:v>
      </x:c>
      <x:c r="C8" t="inlineStr">
        <x:is>
          <x:t xml:space="preserve">2026-03-11</x:t>
        </x:is>
      </x:c>
      <x:c r="D8" t="inlineStr">
        <x:is>
          <x:t xml:space="preserve">https://www.macrotrends.net/stocks/charts/NVDA/nvidia/stock-price-history/1000</x:t>
        </x:is>
      </x:c>
      <x:c r="E8" t="inlineStr">
        <x:is>
          <x:t xml:space="preserve">Used as ballpark low anchor</x:t>
        </x:is>
      </x:c>
    </x:row>
    <x:row r="9">
      <x:c r="A9" t="inlineStr">
        <x:is>
          <x:t xml:space="preserve">VIX prev close</x:t>
        </x:is>
      </x:c>
      <x:c r="B9" t="n">
        <x:v>25.09</x:v>
      </x:c>
      <x:c r="C9" t="inlineStr">
        <x:is>
          <x:t xml:space="preserve">2026-03-18</x:t>
        </x:is>
      </x:c>
      <x:c r="D9" t="inlineStr">
        <x:is>
          <x:t xml:space="preserve">https://www.cboe.com/tradable-products/vix</x:t>
        </x:is>
      </x:c>
      <x:c r="E9" t="inlineStr">
        <x:is>
          <x:t xml:space="preserve">Official Cboe VIX page</x:t>
        </x:is>
      </x:c>
    </x:row>
    <x:row r="10">
      <x:c r="A10" t="inlineStr">
        <x:is>
          <x:t xml:space="preserve">VIX 52w high</x:t>
        </x:is>
      </x:c>
      <x:c r="B10" t="n">
        <x:v>60.13</x:v>
      </x:c>
      <x:c r="C10" t="inlineStr">
        <x:is>
          <x:t xml:space="preserve">2026-03-18</x:t>
        </x:is>
      </x:c>
      <x:c r="D10" t="inlineStr">
        <x:is>
          <x:t xml:space="preserve">https://www.cboe.com/tradable-products/vix</x:t>
        </x:is>
      </x:c>
      <x:c r="E10" t="inlineStr">
        <x:is>
          <x:t xml:space="preserve">Official Cboe VIX page</x:t>
        </x:is>
      </x:c>
    </x:row>
    <x:row r="11">
      <x:c r="A11" t="inlineStr">
        <x:is>
          <x:t xml:space="preserve">VIX 52w low</x:t>
        </x:is>
      </x:c>
      <x:c r="B11" t="n">
        <x:v>13.38</x:v>
      </x:c>
      <x:c r="C11" t="inlineStr">
        <x:is>
          <x:t xml:space="preserve">2026-03-18</x:t>
        </x:is>
      </x:c>
      <x:c r="D11" t="inlineStr">
        <x:is>
          <x:t xml:space="preserve">https://www.cboe.com/tradable-products/vix</x:t>
        </x:is>
      </x:c>
      <x:c r="E11" t="inlineStr">
        <x:is>
          <x:t xml:space="preserve">Official Cboe VIX page</x:t>
        </x:is>
      </x:c>
    </x:row>
    <x:row r="12">
      <x:c r="A12" t="inlineStr">
        <x:is>
          <x:t xml:space="preserve">US 10Y yield (%)</x:t>
        </x:is>
      </x:c>
      <x:c r="B12" t="n">
        <x:v>4.25</x:v>
      </x:c>
      <x:c r="C12" t="inlineStr">
        <x:is>
          <x:t xml:space="preserve">2026-03-19</x:t>
        </x:is>
      </x:c>
      <x:c r="D12" t="inlineStr">
        <x:is>
          <x:t xml:space="preserve">https://fred.stlouisfed.org/series/DGS10</x:t>
        </x:is>
      </x:c>
      <x:c r="E12" t="inlineStr">
        <x:is>
          <x:t xml:space="preserve">FRED / Fed H.15</x:t>
        </x:is>
      </x:c>
    </x:row>
    <x:row r="13">
      <x:c r="A13" t="inlineStr">
        <x:is>
          <x:t xml:space="preserve">US 2Y yield (%)</x:t>
        </x:is>
      </x:c>
      <x:c r="B13" t="n">
        <x:v>3.79</x:v>
      </x:c>
      <x:c r="C13" t="inlineStr">
        <x:is>
          <x:t xml:space="preserve">2026-03-19</x:t>
        </x:is>
      </x:c>
      <x:c r="D13" t="inlineStr">
        <x:is>
          <x:t xml:space="preserve">https://fred.stlouisfed.org/series/DGS2</x:t>
        </x:is>
      </x:c>
      <x:c r="E13" t="inlineStr">
        <x:is>
          <x:t xml:space="preserve">FRED / Fed H.15</x:t>
        </x:is>
      </x:c>
    </x:row>
    <x:row r="14">
      <x:c r="A14" t="inlineStr">
        <x:is>
          <x:t xml:space="preserve">USDJPY</x:t>
        </x:is>
      </x:c>
      <x:c r="B14" t="n">
        <x:v>159.54</x:v>
      </x:c>
      <x:c r="C14" t="inlineStr">
        <x:is>
          <x:t xml:space="preserve">2026-03-13</x:t>
        </x:is>
      </x:c>
      <x:c r="D14" t="inlineStr">
        <x:is>
          <x:t xml:space="preserve">https://fred.stlouisfed.org/series/DEXJPUS</x:t>
        </x:is>
      </x:c>
      <x:c r="E14" t="inlineStr">
        <x:is>
          <x:t xml:space="preserve">FRED FX daily rate</x:t>
        </x:is>
      </x:c>
    </x:row>
    <x:row r="15">
      <x:c r="A15" t="inlineStr">
        <x:is>
          <x:t xml:space="preserve">S&amp;P 500 close</x:t>
        </x:is>
      </x:c>
      <x:c r="B15" t="n">
        <x:v>6506.48</x:v>
      </x:c>
      <x:c r="C15" t="inlineStr">
        <x:is>
          <x:t xml:space="preserve">2026-03-20</x:t>
        </x:is>
      </x:c>
      <x:c r="D15" t="inlineStr">
        <x:is>
          <x:t xml:space="preserve">https://fred.stlouisfed.org/series/SP500</x:t>
        </x:is>
      </x:c>
      <x:c r="E15" t="inlineStr">
        <x:is>
          <x:t xml:space="preserve">Used as ES proxy in workbook</x:t>
        </x:is>
      </x:c>
    </x:row>
    <x:row r="16">
      <x:c r="A16" t="inlineStr">
        <x:is>
          <x:t xml:space="preserve">NASDAQ-100 close</x:t>
        </x:is>
      </x:c>
      <x:c r="B16" t="n">
        <x:v>23898.15</x:v>
      </x:c>
      <x:c r="C16" t="inlineStr">
        <x:is>
          <x:t xml:space="preserve">2026-03-20</x:t>
        </x:is>
      </x:c>
      <x:c r="D16" t="inlineStr">
        <x:is>
          <x:t xml:space="preserve">https://fred.stlouisfed.org/series/NASDAQ100</x:t>
        </x:is>
      </x:c>
      <x:c r="E16" t="inlineStr">
        <x:is>
          <x:t xml:space="preserve">Used as NQ proxy in workbook</x:t>
        </x:is>
      </x:c>
    </x:row>
    <x:row r="17">
      <x:c r="A17" t="inlineStr">
        <x:is>
          <x:t xml:space="preserve">XLK close</x:t>
        </x:is>
      </x:c>
      <x:c r="B17" t="n">
        <x:v>140.43</x:v>
      </x:c>
      <x:c r="C17" t="inlineStr">
        <x:is>
          <x:t xml:space="preserve">2026-03-11</x:t>
        </x:is>
      </x:c>
      <x:c r="D17" t="inlineStr">
        <x:is>
          <x:t xml:space="preserve">https://stockanalysis.com/etf/xlk/history/</x:t>
        </x:is>
      </x:c>
      <x:c r="E17" t="inlineStr">
        <x:is>
          <x:t xml:space="preserve">Public ETF history page</x:t>
        </x:is>
      </x:c>
    </x:row>
    <x:row r="18">
      <x:c r="A18" t="inlineStr">
        <x:is>
          <x:t xml:space="preserve">SOX close</x:t>
        </x:is>
      </x:c>
      <x:c r="B18" t="n">
        <x:v>7914.6</x:v>
      </x:c>
      <x:c r="C18" t="inlineStr">
        <x:is>
          <x:t xml:space="preserve">2026-03-11</x:t>
        </x:is>
      </x:c>
      <x:c r="D18" t="inlineStr">
        <x:is>
          <x:t xml:space="preserve">https://ph.investing.com/indices/phlx-semiconductor-historical-data</x:t>
        </x:is>
      </x:c>
      <x:c r="E18" t="inlineStr">
        <x:is>
          <x:t xml:space="preserve">Public index history page</x:t>
        </x:is>
      </x:c>
    </x:row>
    <x:row r="19">
      <x:c r="A19" t="inlineStr">
        <x:is>
          <x:t xml:space="preserve">Nikkei 225 close</x:t>
        </x:is>
      </x:c>
      <x:c r="B19" t="n">
        <x:v>54453</x:v>
      </x:c>
      <x:c r="C19" t="inlineStr">
        <x:is>
          <x:t xml:space="preserve">2026-03-12</x:t>
        </x:is>
      </x:c>
      <x:c r="D19" t="inlineStr">
        <x:is>
          <x:t xml:space="preserve">https://tradingeconomics.com/japan/stock-market/news/524510</x:t>
        </x:is>
      </x:c>
      <x:c r="E19" t="inlineStr">
        <x:is>
          <x:t xml:space="preserve">Public close summary</x:t>
        </x:is>
      </x:c>
    </x:row>
    <x:row r="20">
      <x:c r="A20" t="inlineStr">
        <x:is>
          <x:t xml:space="preserve">Hang Seng close</x:t>
        </x:is>
      </x:c>
      <x:c r="B20" t="n">
        <x:v>25321.34</x:v>
      </x:c>
      <x:c r="C20" t="inlineStr">
        <x:is>
          <x:t xml:space="preserve">2026-03-05</x:t>
        </x:is>
      </x:c>
      <x:c r="D20" t="inlineStr">
        <x:is>
          <x:t xml:space="preserve">https://www.china.org.cn/china/Off_the_Wire/2026-03/05/content_118363763.shtml</x:t>
        </x:is>
      </x:c>
      <x:c r="E20" t="inlineStr">
        <x:is>
          <x:t xml:space="preserve">Public close summary</x:t>
        </x:is>
      </x:c>
    </x:row>
    <x:row r="21">
      <x:c r="A21" t="inlineStr">
        <x:is>
          <x:t xml:space="preserve">Hang Seng Tech close</x:t>
        </x:is>
      </x:c>
      <x:c r="B21" t="n">
        <x:v>4796.33</x:v>
      </x:c>
      <x:c r="C21" t="inlineStr">
        <x:is>
          <x:t xml:space="preserve">2026-03-05</x:t>
        </x:is>
      </x:c>
      <x:c r="D21" t="inlineStr">
        <x:is>
          <x:t xml:space="preserve">https://www.china.org.cn/china/Off_the_Wire/2026-03/05/content_118363763.shtml</x:t>
        </x:is>
      </x:c>
      <x:c r="E21" t="inlineStr">
        <x:is>
          <x:t xml:space="preserve">Public close summary</x:t>
        </x:is>
      </x:c>
    </x:row>
    <x:row r="22">
      <x:c r="A22" t="inlineStr">
        <x:is>
          <x:t xml:space="preserve">VVIX close</x:t>
        </x:is>
      </x:c>
      <x:c r="B22" t="n">
        <x:v>140.44</x:v>
      </x:c>
      <x:c r="C22" t="inlineStr">
        <x:is>
          <x:t xml:space="preserve">2026-03-06</x:t>
        </x:is>
      </x:c>
      <x:c r="D22" t="inlineStr">
        <x:is>
          <x:t xml:space="preserve">https://finance.yahoo.com/quote/%5EVVIX/</x:t>
        </x:is>
      </x:c>
      <x:c r="E22" t="inlineStr">
        <x:is>
          <x:t xml:space="preserve">Delayed public quote</x:t>
        </x:is>
      </x:c>
    </x:row>
    <x:row r="23">
      <x:c r="A23" t="inlineStr">
        <x:is>
          <x:t xml:space="preserve">VIX9D close</x:t>
        </x:is>
      </x:c>
      <x:c r="B23" t="n">
        <x:v>24.44</x:v>
      </x:c>
      <x:c r="C23" t="inlineStr">
        <x:is>
          <x:t xml:space="preserve">2026-03-11</x:t>
        </x:is>
      </x:c>
      <x:c r="D23" t="inlineStr">
        <x:is>
          <x:t xml:space="preserve">https://www.investing.com/indices/s-p-500-9day-volatility-historical-data</x:t>
        </x:is>
      </x:c>
      <x:c r="E23" t="inlineStr">
        <x:is>
          <x:t xml:space="preserve">Public historical close</x:t>
        </x:is>
      </x:c>
    </x:row>
    <x:row r="24">
      <x:c r="A24" t="inlineStr">
        <x:is>
          <x:t xml:space="preserve">SKEW close</x:t>
        </x:is>
      </x:c>
      <x:c r="B24" t="n">
        <x:v>152.44</x:v>
      </x:c>
      <x:c r="C24" t="inlineStr">
        <x:is>
          <x:t xml:space="preserve">2026-03-11</x:t>
        </x:is>
      </x:c>
      <x:c r="D24" t="inlineStr">
        <x:is>
          <x:t xml:space="preserve">https://ycharts.com/indicators/skew_index</x:t>
        </x:is>
      </x:c>
      <x:c r="E24" t="inlineStr">
        <x:is>
          <x:t xml:space="preserve">Public historical close</x:t>
        </x:is>
      </x:c>
    </x:row>
    <x:row r="26">
      <x:c r="A26" s="60" t="inlineStr">
        <x:is>
          <x:t xml:space="preserve">Recent daily observations used as live baseline snippets</x:t>
        </x:is>
      </x:c>
    </x:row>
    <x:row r="27">
      <x:c r="A27" s="62" t="inlineStr">
        <x:is>
          <x:t xml:space="preserve">Series</x:t>
        </x:is>
      </x:c>
      <x:c r="B27" s="62" t="inlineStr">
        <x:is>
          <x:t xml:space="preserve">Date</x:t>
        </x:is>
      </x:c>
      <x:c r="C27" s="62" t="inlineStr">
        <x:is>
          <x:t xml:space="preserve">Value</x:t>
        </x:is>
      </x:c>
      <x:c r="D27" s="62" t="inlineStr">
        <x:is>
          <x:t xml:space="preserve">Source</x:t>
        </x:is>
      </x:c>
      <x:c r="E27" s="62" t="inlineStr">
        <x:is>
          <x:t xml:space="preserve">Notes</x:t>
        </x:is>
      </x:c>
    </x:row>
    <x:row r="28">
      <x:c r="A28" t="inlineStr">
        <x:is>
          <x:t xml:space="preserve">DGS10</x:t>
        </x:is>
      </x:c>
      <x:c r="B28" t="inlineStr">
        <x:is>
          <x:t xml:space="preserve">2026-03-19</x:t>
        </x:is>
      </x:c>
      <x:c r="C28" t="n">
        <x:v>4.25</x:v>
      </x:c>
      <x:c r="D28" t="inlineStr">
        <x:is>
          <x:t xml:space="preserve">https://fred.stlouisfed.org/series/DGS10</x:t>
        </x:is>
      </x:c>
    </x:row>
    <x:row r="29">
      <x:c r="A29" t="inlineStr">
        <x:is>
          <x:t xml:space="preserve">DGS10</x:t>
        </x:is>
      </x:c>
      <x:c r="B29" t="inlineStr">
        <x:is>
          <x:t xml:space="preserve">2026-03-18</x:t>
        </x:is>
      </x:c>
      <x:c r="C29" t="n">
        <x:v>4.26</x:v>
      </x:c>
      <x:c r="D29" t="inlineStr">
        <x:is>
          <x:t xml:space="preserve">https://fred.stlouisfed.org/series/DGS10</x:t>
        </x:is>
      </x:c>
    </x:row>
    <x:row r="30">
      <x:c r="A30" t="inlineStr">
        <x:is>
          <x:t xml:space="preserve">DGS10</x:t>
        </x:is>
      </x:c>
      <x:c r="B30" t="inlineStr">
        <x:is>
          <x:t xml:space="preserve">2026-03-17</x:t>
        </x:is>
      </x:c>
      <x:c r="C30" t="n">
        <x:v>4.2</x:v>
      </x:c>
      <x:c r="D30" t="inlineStr">
        <x:is>
          <x:t xml:space="preserve">https://fred.stlouisfed.org/series/DGS10</x:t>
        </x:is>
      </x:c>
    </x:row>
    <x:row r="31">
      <x:c r="A31" t="inlineStr">
        <x:is>
          <x:t xml:space="preserve">DGS10</x:t>
        </x:is>
      </x:c>
      <x:c r="B31" t="inlineStr">
        <x:is>
          <x:t xml:space="preserve">2026-03-16</x:t>
        </x:is>
      </x:c>
      <x:c r="C31" t="n">
        <x:v>4.23</x:v>
      </x:c>
      <x:c r="D31" t="inlineStr">
        <x:is>
          <x:t xml:space="preserve">https://fred.stlouisfed.org/series/DGS10</x:t>
        </x:is>
      </x:c>
    </x:row>
    <x:row r="32">
      <x:c r="A32" t="inlineStr">
        <x:is>
          <x:t xml:space="preserve">DGS10</x:t>
        </x:is>
      </x:c>
      <x:c r="B32" t="inlineStr">
        <x:is>
          <x:t xml:space="preserve">2026-03-13</x:t>
        </x:is>
      </x:c>
      <x:c r="C32" t="n">
        <x:v>4.28</x:v>
      </x:c>
      <x:c r="D32" t="inlineStr">
        <x:is>
          <x:t xml:space="preserve">https://fred.stlouisfed.org/series/DGS10</x:t>
        </x:is>
      </x:c>
    </x:row>
    <x:row r="33">
      <x:c r="A33" t="inlineStr">
        <x:is>
          <x:t xml:space="preserve">DGS2</x:t>
        </x:is>
      </x:c>
      <x:c r="B33" t="inlineStr">
        <x:is>
          <x:t xml:space="preserve">2026-03-19</x:t>
        </x:is>
      </x:c>
      <x:c r="C33" t="n">
        <x:v>3.79</x:v>
      </x:c>
      <x:c r="D33" t="inlineStr">
        <x:is>
          <x:t xml:space="preserve">https://fred.stlouisfed.org/series/DGS2</x:t>
        </x:is>
      </x:c>
    </x:row>
    <x:row r="34">
      <x:c r="A34" t="inlineStr">
        <x:is>
          <x:t xml:space="preserve">DGS2</x:t>
        </x:is>
      </x:c>
      <x:c r="B34" t="inlineStr">
        <x:is>
          <x:t xml:space="preserve">2026-03-18</x:t>
        </x:is>
      </x:c>
      <x:c r="C34" t="n">
        <x:v>3.76</x:v>
      </x:c>
      <x:c r="D34" t="inlineStr">
        <x:is>
          <x:t xml:space="preserve">https://fred.stlouisfed.org/series/DGS2</x:t>
        </x:is>
      </x:c>
    </x:row>
    <x:row r="35">
      <x:c r="A35" t="inlineStr">
        <x:is>
          <x:t xml:space="preserve">DGS2</x:t>
        </x:is>
      </x:c>
      <x:c r="B35" t="inlineStr">
        <x:is>
          <x:t xml:space="preserve">2026-03-17</x:t>
        </x:is>
      </x:c>
      <x:c r="C35" t="n">
        <x:v>3.68</x:v>
      </x:c>
      <x:c r="D35" t="inlineStr">
        <x:is>
          <x:t xml:space="preserve">https://fred.stlouisfed.org/series/DGS2</x:t>
        </x:is>
      </x:c>
    </x:row>
    <x:row r="36">
      <x:c r="A36" t="inlineStr">
        <x:is>
          <x:t xml:space="preserve">DGS2</x:t>
        </x:is>
      </x:c>
      <x:c r="B36" t="inlineStr">
        <x:is>
          <x:t xml:space="preserve">2026-03-16</x:t>
        </x:is>
      </x:c>
      <x:c r="C36" t="n">
        <x:v>3.68</x:v>
      </x:c>
      <x:c r="D36" t="inlineStr">
        <x:is>
          <x:t xml:space="preserve">https://fred.stlouisfed.org/series/DGS2</x:t>
        </x:is>
      </x:c>
    </x:row>
    <x:row r="37">
      <x:c r="A37" t="inlineStr">
        <x:is>
          <x:t xml:space="preserve">DGS2</x:t>
        </x:is>
      </x:c>
      <x:c r="B37" t="inlineStr">
        <x:is>
          <x:t xml:space="preserve">2026-03-13</x:t>
        </x:is>
      </x:c>
      <x:c r="C37" t="n">
        <x:v>3.73</x:v>
      </x:c>
      <x:c r="D37" t="inlineStr">
        <x:is>
          <x:t xml:space="preserve">https://fred.stlouisfed.org/series/DGS2</x:t>
        </x:is>
      </x:c>
    </x:row>
    <x:row r="38">
      <x:c r="A38" t="inlineStr">
        <x:is>
          <x:t xml:space="preserve">DEXJPUS</x:t>
        </x:is>
      </x:c>
      <x:c r="B38" t="inlineStr">
        <x:is>
          <x:t xml:space="preserve">2026-03-13</x:t>
        </x:is>
      </x:c>
      <x:c r="C38" t="n">
        <x:v>159.54</x:v>
      </x:c>
      <x:c r="D38" t="inlineStr">
        <x:is>
          <x:t xml:space="preserve">https://fred.stlouisfed.org/series/DEXJPUS</x:t>
        </x:is>
      </x:c>
    </x:row>
    <x:row r="39">
      <x:c r="A39" t="inlineStr">
        <x:is>
          <x:t xml:space="preserve">DEXJPUS</x:t>
        </x:is>
      </x:c>
      <x:c r="B39" t="inlineStr">
        <x:is>
          <x:t xml:space="preserve">2026-03-12</x:t>
        </x:is>
      </x:c>
      <x:c r="C39" t="n">
        <x:v>159.21</x:v>
      </x:c>
      <x:c r="D39" t="inlineStr">
        <x:is>
          <x:t xml:space="preserve">https://fred.stlouisfed.org/series/DEXJPUS</x:t>
        </x:is>
      </x:c>
    </x:row>
    <x:row r="40">
      <x:c r="A40" t="inlineStr">
        <x:is>
          <x:t xml:space="preserve">DEXJPUS</x:t>
        </x:is>
      </x:c>
      <x:c r="B40" t="inlineStr">
        <x:is>
          <x:t xml:space="preserve">2026-03-11</x:t>
        </x:is>
      </x:c>
      <x:c r="C40" t="n">
        <x:v>158.83</x:v>
      </x:c>
      <x:c r="D40" t="inlineStr">
        <x:is>
          <x:t xml:space="preserve">https://fred.stlouisfed.org/series/DEXJPUS</x:t>
        </x:is>
      </x:c>
    </x:row>
    <x:row r="41">
      <x:c r="A41" t="inlineStr">
        <x:is>
          <x:t xml:space="preserve">DEXJPUS</x:t>
        </x:is>
      </x:c>
      <x:c r="B41" t="inlineStr">
        <x:is>
          <x:t xml:space="preserve">2026-03-10</x:t>
        </x:is>
      </x:c>
      <x:c r="C41" t="n">
        <x:v>157.6</x:v>
      </x:c>
      <x:c r="D41" t="inlineStr">
        <x:is>
          <x:t xml:space="preserve">https://fred.stlouisfed.org/series/DEXJPUS</x:t>
        </x:is>
      </x:c>
    </x:row>
    <x:row r="42">
      <x:c r="A42" t="inlineStr">
        <x:is>
          <x:t xml:space="preserve">DEXJPUS</x:t>
        </x:is>
      </x:c>
      <x:c r="B42" t="inlineStr">
        <x:is>
          <x:t xml:space="preserve">2026-03-09</x:t>
        </x:is>
      </x:c>
      <x:c r="C42" t="n">
        <x:v>158.08</x:v>
      </x:c>
      <x:c r="D42" t="inlineStr">
        <x:is>
          <x:t xml:space="preserve">https://fred.stlouisfed.org/series/DEXJPUS</x:t>
        </x:is>
      </x:c>
    </x:row>
    <x:row r="43">
      <x:c r="A43" t="inlineStr">
        <x:is>
          <x:t xml:space="preserve">SP500</x:t>
        </x:is>
      </x:c>
      <x:c r="B43" t="inlineStr">
        <x:is>
          <x:t xml:space="preserve">2026-03-20</x:t>
        </x:is>
      </x:c>
      <x:c r="C43" t="n">
        <x:v>6506.48</x:v>
      </x:c>
      <x:c r="D43" t="inlineStr">
        <x:is>
          <x:t xml:space="preserve">https://fred.stlouisfed.org/series/SP500</x:t>
        </x:is>
      </x:c>
    </x:row>
    <x:row r="44">
      <x:c r="A44" t="inlineStr">
        <x:is>
          <x:t xml:space="preserve">SP500</x:t>
        </x:is>
      </x:c>
      <x:c r="B44" t="inlineStr">
        <x:is>
          <x:t xml:space="preserve">2026-03-19</x:t>
        </x:is>
      </x:c>
      <x:c r="C44" t="n">
        <x:v>6606.49</x:v>
      </x:c>
      <x:c r="D44" t="inlineStr">
        <x:is>
          <x:t xml:space="preserve">https://fred.stlouisfed.org/series/SP500</x:t>
        </x:is>
      </x:c>
    </x:row>
    <x:row r="45">
      <x:c r="A45" t="inlineStr">
        <x:is>
          <x:t xml:space="preserve">SP500</x:t>
        </x:is>
      </x:c>
      <x:c r="B45" t="inlineStr">
        <x:is>
          <x:t xml:space="preserve">2026-03-18</x:t>
        </x:is>
      </x:c>
      <x:c r="C45" t="n">
        <x:v>6624.7</x:v>
      </x:c>
      <x:c r="D45" t="inlineStr">
        <x:is>
          <x:t xml:space="preserve">https://fred.stlouisfed.org/series/SP500</x:t>
        </x:is>
      </x:c>
    </x:row>
    <x:row r="46">
      <x:c r="A46" t="inlineStr">
        <x:is>
          <x:t xml:space="preserve">SP500</x:t>
        </x:is>
      </x:c>
      <x:c r="B46" t="inlineStr">
        <x:is>
          <x:t xml:space="preserve">2026-03-17</x:t>
        </x:is>
      </x:c>
      <x:c r="C46" t="n">
        <x:v>6716.09</x:v>
      </x:c>
      <x:c r="D46" t="inlineStr">
        <x:is>
          <x:t xml:space="preserve">https://fred.stlouisfed.org/series/SP500</x:t>
        </x:is>
      </x:c>
    </x:row>
    <x:row r="47">
      <x:c r="A47" t="inlineStr">
        <x:is>
          <x:t xml:space="preserve">SP500</x:t>
        </x:is>
      </x:c>
      <x:c r="B47" t="inlineStr">
        <x:is>
          <x:t xml:space="preserve">2026-03-16</x:t>
        </x:is>
      </x:c>
      <x:c r="C47" t="n">
        <x:v>6699.38</x:v>
      </x:c>
      <x:c r="D47" t="inlineStr">
        <x:is>
          <x:t xml:space="preserve">https://fred.stlouisfed.org/series/SP500</x:t>
        </x:is>
      </x:c>
    </x:row>
    <x:row r="48">
      <x:c r="A48" t="inlineStr">
        <x:is>
          <x:t xml:space="preserve">NASDAQ100</x:t>
        </x:is>
      </x:c>
      <x:c r="B48" t="inlineStr">
        <x:is>
          <x:t xml:space="preserve">2026-03-20</x:t>
        </x:is>
      </x:c>
      <x:c r="C48" t="n">
        <x:v>23898.15</x:v>
      </x:c>
      <x:c r="D48" t="inlineStr">
        <x:is>
          <x:t xml:space="preserve">https://fred.stlouisfed.org/series/NASDAQ100</x:t>
        </x:is>
      </x:c>
    </x:row>
    <x:row r="49">
      <x:c r="A49" t="inlineStr">
        <x:is>
          <x:t xml:space="preserve">NASDAQ100</x:t>
        </x:is>
      </x:c>
      <x:c r="B49" t="inlineStr">
        <x:is>
          <x:t xml:space="preserve">2026-03-19</x:t>
        </x:is>
      </x:c>
      <x:c r="C49" t="n">
        <x:v>24355.28</x:v>
      </x:c>
      <x:c r="D49" t="inlineStr">
        <x:is>
          <x:t xml:space="preserve">https://fred.stlouisfed.org/series/NASDAQ100</x:t>
        </x:is>
      </x:c>
    </x:row>
    <x:row r="50">
      <x:c r="A50" t="inlineStr">
        <x:is>
          <x:t xml:space="preserve">NASDAQ100</x:t>
        </x:is>
      </x:c>
      <x:c r="B50" t="inlineStr">
        <x:is>
          <x:t xml:space="preserve">2026-03-18</x:t>
        </x:is>
      </x:c>
      <x:c r="C50" t="n">
        <x:v>24425.09</x:v>
      </x:c>
      <x:c r="D50" t="inlineStr">
        <x:is>
          <x:t xml:space="preserve">https://fred.stlouisfed.org/series/NASDAQ100</x:t>
        </x:is>
      </x:c>
    </x:row>
    <x:row r="51">
      <x:c r="A51" t="inlineStr">
        <x:is>
          <x:t xml:space="preserve">NASDAQ100</x:t>
        </x:is>
      </x:c>
      <x:c r="B51" t="inlineStr">
        <x:is>
          <x:t xml:space="preserve">2026-03-17</x:t>
        </x:is>
      </x:c>
      <x:c r="C51" t="n">
        <x:v>24780.42</x:v>
      </x:c>
      <x:c r="D51" t="inlineStr">
        <x:is>
          <x:t xml:space="preserve">https://fred.stlouisfed.org/series/NASDAQ100</x:t>
        </x:is>
      </x:c>
    </x:row>
    <x:row r="52">
      <x:c r="A52" t="inlineStr">
        <x:is>
          <x:t xml:space="preserve">NASDAQ100</x:t>
        </x:is>
      </x:c>
      <x:c r="B52" t="inlineStr">
        <x:is>
          <x:t xml:space="preserve">2026-03-16</x:t>
        </x:is>
      </x:c>
      <x:c r="C52" t="n">
        <x:v>24655.34</x:v>
      </x:c>
      <x:c r="D52" t="inlineStr">
        <x:is>
          <x:t xml:space="preserve">https://fred.stlouisfed.org/series/NASDAQ100</x:t>
        </x:is>
      </x:c>
    </x:row>
  </x:sheetData>
  <x:mergeCells>
    <x:mergeCell ref="A1:E1"/>
    <x:mergeCell ref="A26:E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5" customWidth="1"/>
    <x:col min="6" max="6" width="12" customWidth="1"/>
    <x:col min="7" max="7" width="12" customWidth="1"/>
    <x:col min="8" max="8" width="10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10" customWidth="1"/>
    <x:col min="28" max="28" width="12" customWidth="1"/>
    <x:col min="29" max="29" width="10" customWidth="1"/>
  </x:cols>
  <x:sheetData>
    <x:row r="1">
      <x:c r="A1" s="1" t="inlineStr">
        <x:is>
          <x:t xml:space="preserve">Synthetic Raw Paths (Scenario-Adjusted)</x:t>
        </x:is>
      </x:c>
    </x:row>
    <x:row r="2">
      <x:c r="A2" s="22" t="inlineStr">
        <x:is>
          <x:t xml:space="preserve">Formula-driven from Anchor_Data plus scenario controls.</x:t>
        </x:is>
      </x:c>
      <x:c r="B2" t="n"/>
    </x:row>
    <x:row r="4">
      <x:c r="A4" s="15" t="inlineStr">
        <x:is>
          <x:t xml:space="preserve">Date</x:t>
        </x:is>
      </x:c>
      <x:c r="B4" s="15" t="inlineStr">
        <x:is>
          <x:t xml:space="preserve">NVDA_Close</x:t>
        </x:is>
      </x:c>
      <x:c r="C4" s="15" t="inlineStr">
        <x:is>
          <x:t xml:space="preserve">NVDA_High</x:t>
        </x:is>
      </x:c>
      <x:c r="D4" s="15" t="inlineStr">
        <x:is>
          <x:t xml:space="preserve">NVDA_Low</x:t>
        </x:is>
      </x:c>
      <x:c r="E4" s="15" t="inlineStr">
        <x:is>
          <x:t xml:space="preserve">NVDA_Volume_M</x:t>
        </x:is>
      </x:c>
      <x:c r="F4" s="15" t="inlineStr">
        <x:is>
          <x:t xml:space="preserve">ES</x:t>
        </x:is>
      </x:c>
      <x:c r="G4" s="15" t="inlineStr">
        <x:is>
          <x:t xml:space="preserve">NQ</x:t>
        </x:is>
      </x:c>
      <x:c r="H4" s="15" t="inlineStr">
        <x:is>
          <x:t xml:space="preserve">XLK</x:t>
        </x:is>
      </x:c>
      <x:c r="I4" s="15" t="inlineStr">
        <x:is>
          <x:t xml:space="preserve">SOX</x:t>
        </x:is>
      </x:c>
      <x:c r="J4" s="15" t="inlineStr">
        <x:is>
          <x:t xml:space="preserve">NKY</x:t>
        </x:is>
      </x:c>
      <x:c r="K4" s="15" t="inlineStr">
        <x:is>
          <x:t xml:space="preserve">HSI</x:t>
        </x:is>
      </x:c>
      <x:c r="L4" s="15" t="inlineStr">
        <x:is>
          <x:t xml:space="preserve">HSTECH</x:t>
        </x:is>
      </x:c>
      <x:c r="M4" s="15" t="inlineStr">
        <x:is>
          <x:t xml:space="preserve">VIX</x:t>
        </x:is>
      </x:c>
      <x:c r="N4" s="15" t="inlineStr">
        <x:is>
          <x:t xml:space="preserve">VVIX</x:t>
        </x:is>
      </x:c>
      <x:c r="O4" s="15" t="inlineStr">
        <x:is>
          <x:t xml:space="preserve">VIX9D</x:t>
        </x:is>
      </x:c>
      <x:c r="P4" s="15" t="inlineStr">
        <x:is>
          <x:t xml:space="preserve">SKEW</x:t>
        </x:is>
      </x:c>
      <x:c r="Q4" s="15" t="inlineStr">
        <x:is>
          <x:t xml:space="preserve">US10Y_bp</x:t>
        </x:is>
      </x:c>
      <x:c r="R4" s="15" t="inlineStr">
        <x:is>
          <x:t xml:space="preserve">US2Y_bp</x:t>
        </x:is>
      </x:c>
      <x:c r="S4" s="15" t="inlineStr">
        <x:is>
          <x:t xml:space="preserve">USDJPY</x:t>
        </x:is>
      </x:c>
      <x:c r="T4" s="15" t="inlineStr">
        <x:is>
          <x:t xml:space="preserve">SPX_Breadth</x:t>
        </x:is>
      </x:c>
      <x:c r="U4" s="15" t="inlineStr">
        <x:is>
          <x:t xml:space="preserve">NDX_Breadth</x:t>
        </x:is>
      </x:c>
      <x:c r="V4" s="15" t="inlineStr">
        <x:is>
          <x:t xml:space="preserve">SOX_Breadth</x:t>
        </x:is>
      </x:c>
      <x:c r="W4" s="15" t="inlineStr">
        <x:is>
          <x:t xml:space="preserve">Dealer_Gamma</x:t>
        </x:is>
      </x:c>
      <x:c r="X4" s="15" t="inlineStr">
        <x:is>
          <x:t xml:space="preserve">Gamma_Conc</x:t>
        </x:is>
      </x:c>
      <x:c r="Y4" s="15" t="inlineStr">
        <x:is>
          <x:t xml:space="preserve">ATM_IV</x:t>
        </x:is>
      </x:c>
      <x:c r="Z4" s="15" t="inlineStr">
        <x:is>
          <x:t xml:space="preserve">Term_Slope</x:t>
        </x:is>
      </x:c>
      <x:c r="AA4" s="15" t="inlineStr">
        <x:is>
          <x:t xml:space="preserve">Skew_Slope</x:t>
        </x:is>
      </x:c>
      <x:c r="AB4" s="15" t="inlineStr">
        <x:is>
          <x:t xml:space="preserve">CallPut_Imbal</x:t>
        </x:is>
      </x:c>
      <x:c r="AC4" s="15" t="inlineStr">
        <x:is>
          <x:t xml:space="preserve">OI_Conc</x:t>
        </x:is>
      </x:c>
      <x:c r="AD4" s="15" t="inlineStr">
        <x:is>
          <x:t xml:space="preserve">RV20d</x:t>
        </x:is>
      </x:c>
      <x:c r="AE4" s="15" t="inlineStr">
        <x:is>
          <x:t xml:space="preserve">Event_Flag</x:t>
        </x:is>
      </x:c>
    </x:row>
    <x:row r="5">
      <x:c r="A5" s="46" t="n">
        <x:f>Anchor_Data!A5</x:f>
        <x:v>46023</x:v>
      </x:c>
      <x:c r="B5" s="47" t="n">
        <x:f>Anchor_Data!B5*Controls!$B$14</x:f>
        <x:v>188.726087</x:v>
      </x:c>
      <x:c r="C5" s="47" t="n">
        <x:f>Anchor_Data!C5*Controls!$B$14</x:f>
        <x:v>198.383043</x:v>
      </x:c>
      <x:c r="D5" s="47" t="n">
        <x:f>Anchor_Data!D5*Controls!$B$14</x:f>
        <x:v>174.361884</x:v>
      </x:c>
      <x:c r="E5" s="5" t="n">
        <x:f>Anchor_Data!E5*Controls!$B$15</x:f>
        <x:v>900</x:v>
      </x:c>
      <x:c r="F5" s="5" t="n">
        <x:f>Anchor_Data!F5*Controls!$B$16</x:f>
        <x:v>6513.264651</x:v>
      </x:c>
      <x:c r="G5" s="5" t="n">
        <x:f>Anchor_Data!G5*Controls!$B$16</x:f>
        <x:v>23869.73365</x:v>
      </x:c>
      <x:c r="H5" s="5" t="n">
        <x:f>Anchor_Data!H5*Controls!$B$16</x:f>
        <x:v>141.780288</x:v>
      </x:c>
      <x:c r="I5" s="5" t="n">
        <x:f>Anchor_Data!I5*Controls!$B$16</x:f>
        <x:v>8001.573626</x:v>
      </x:c>
      <x:c r="J5" s="5" t="n">
        <x:f>Anchor_Data!J5*Controls!$B$17</x:f>
        <x:v>54863.656109</x:v>
      </x:c>
      <x:c r="K5" s="5" t="n">
        <x:f>Anchor_Data!K5*Controls!$B$17</x:f>
        <x:v>25733.689928</x:v>
      </x:c>
      <x:c r="L5" s="5" t="n">
        <x:f>Anchor_Data!L5*Controls!$B$17</x:f>
        <x:v>4854.821829</x:v>
      </x:c>
      <x:c r="M5" s="47" t="n">
        <x:f>Anchor_Data!M5+Controls!$B$18</x:f>
        <x:v>21.313011</x:v>
      </x:c>
      <x:c r="N5" s="47" t="n">
        <x:f>Anchor_Data!N5+Controls!$B$19</x:f>
        <x:v>121.534615</x:v>
      </x:c>
      <x:c r="O5" s="47" t="n">
        <x:f>Anchor_Data!O5+Controls!$B$20</x:f>
        <x:v>18.966458</x:v>
      </x:c>
      <x:c r="P5" s="5" t="n">
        <x:f>Anchor_Data!P5+Controls!$B$21</x:f>
        <x:v>147.146944</x:v>
      </x:c>
      <x:c r="Q5" s="29" t="n">
        <x:f>Anchor_Data!Q5+Controls!$B$22</x:f>
        <x:v>431.085919</x:v>
      </x:c>
      <x:c r="R5" s="29" t="n">
        <x:f>Anchor_Data!R5+Controls!$B$23</x:f>
        <x:v>382.780549</x:v>
      </x:c>
      <x:c r="S5" s="47" t="n">
        <x:f>Anchor_Data!S5*Controls!$B$24</x:f>
        <x:v>160.417799</x:v>
      </x:c>
      <x:c r="T5" s="48" t="n">
        <x:f>MAX(0,MIN(1,Anchor_Data!T5+Controls!$B$25))</x:f>
        <x:v>0.53</x:v>
      </x:c>
      <x:c r="U5" s="48" t="n">
        <x:f>MAX(0,MIN(1,Anchor_Data!U5+Controls!$B$25))</x:f>
        <x:v>0.55</x:v>
      </x:c>
      <x:c r="V5" s="48" t="n">
        <x:f>MAX(0,MIN(1,Anchor_Data!V5+Controls!$B$25))</x:f>
        <x:v>0.57</x:v>
      </x:c>
      <x:c r="W5" s="31" t="n">
        <x:f>MAX(-1,MIN(1,Anchor_Data!W5+Controls!$B$26))</x:f>
        <x:v>0.15</x:v>
      </x:c>
      <x:c r="X5" s="31" t="n">
        <x:f>MAX(0,MIN(1,Anchor_Data!X5+Controls!$B$27))</x:f>
        <x:v>0.42</x:v>
      </x:c>
      <x:c r="Y5" s="31" t="n">
        <x:f>MAX(0,Anchor_Data!Y5+Controls!$B$28)</x:f>
        <x:v>0.42</x:v>
      </x:c>
      <x:c r="Z5" s="31" t="n">
        <x:f>MAX(0,Anchor_Data!Z5+Controls!$B$29)</x:f>
        <x:v>0.03</x:v>
      </x:c>
      <x:c r="AA5" s="31" t="n">
        <x:f>MAX(0,Anchor_Data!AA5+Controls!$B$30)</x:f>
        <x:v>0.11</x:v>
      </x:c>
      <x:c r="AB5" s="31" t="n">
        <x:f>MAX(0,MIN(1,Anchor_Data!AB5+Controls!$B$31))</x:f>
        <x:v>0.08</x:v>
      </x:c>
      <x:c r="AC5" s="31" t="n">
        <x:f>Anchor_Data!AC5+Controls!$B$32</x:f>
        <x:v>0.47</x:v>
      </x:c>
      <x:c r="AD5" s="32" t="n"/>
    </x:row>
    <x:row r="6">
      <x:c r="A6" s="46" t="n">
        <x:f>Anchor_Data!A6</x:f>
        <x:v>46054</x:v>
      </x:c>
      <x:c r="B6" s="47" t="n">
        <x:f>Anchor_Data!B6*Controls!$B$14</x:f>
        <x:v>195.466304</x:v>
      </x:c>
      <x:c r="C6" s="47" t="n">
        <x:f>Anchor_Data!C6*Controls!$B$14</x:f>
        <x:v>205.468152</x:v>
      </x:c>
      <x:c r="D6" s="47" t="n">
        <x:f>Anchor_Data!D6*Controls!$B$14</x:f>
        <x:v>180.589094</x:v>
      </x:c>
      <x:c r="E6" s="5" t="n">
        <x:f>Anchor_Data!E6*Controls!$B$15</x:f>
        <x:v>935</x:v>
      </x:c>
      <x:c r="F6" s="5" t="n">
        <x:f>Anchor_Data!F6*Controls!$B$16</x:f>
        <x:v>6594.680459</x:v>
      </x:c>
      <x:c r="G6" s="5" t="n">
        <x:f>Anchor_Data!G6*Controls!$B$16</x:f>
        <x:v>24367.019768</x:v>
      </x:c>
      <x:c r="H6" s="5" t="n">
        <x:f>Anchor_Data!H6*Controls!$B$16</x:f>
        <x:v>143.130577</x:v>
      </x:c>
      <x:c r="I6" s="5" t="n">
        <x:f>Anchor_Data!I6*Controls!$B$16</x:f>
        <x:v>8140.731429</x:v>
      </x:c>
      <x:c r="J6" s="5" t="n">
        <x:f>Anchor_Data!J6*Controls!$B$17</x:f>
        <x:v>55520.705882</x:v>
      </x:c>
      <x:c r="K6" s="5" t="n">
        <x:f>Anchor_Data!K6*Controls!$B$17</x:f>
        <x:v>25993.31766</x:v>
      </x:c>
      <x:c r="L6" s="5" t="n">
        <x:f>Anchor_Data!L6*Controls!$B$17</x:f>
        <x:v>4935.248095</x:v>
      </x:c>
      <x:c r="M6" s="47" t="n">
        <x:f>Anchor_Data!M6+Controls!$B$18</x:f>
        <x:v>21.852581</x:v>
      </x:c>
      <x:c r="N6" s="47" t="n">
        <x:f>Anchor_Data!N6+Controls!$B$19</x:f>
        <x:v>124.235385</x:v>
      </x:c>
      <x:c r="O6" s="47" t="n">
        <x:f>Anchor_Data!O6+Controls!$B$20</x:f>
        <x:v>19.602917</x:v>
      </x:c>
      <x:c r="P6" s="5" t="n">
        <x:f>Anchor_Data!P6+Controls!$B$21</x:f>
        <x:v>148.205556</x:v>
      </x:c>
      <x:c r="Q6" s="29" t="n">
        <x:f>Anchor_Data!Q6+Controls!$B$22</x:f>
        <x:v>434.128878</x:v>
      </x:c>
      <x:c r="R6" s="29" t="n">
        <x:f>Anchor_Data!R6+Controls!$B$23</x:f>
        <x:v>385.61596</x:v>
      </x:c>
      <x:c r="S6" s="47" t="n">
        <x:f>Anchor_Data!S6*Controls!$B$24</x:f>
        <x:v>161.295598</x:v>
      </x:c>
      <x:c r="T6" s="48" t="n">
        <x:f>MAX(0,MIN(1,Anchor_Data!T6+Controls!$B$25))</x:f>
        <x:v>0.56</x:v>
      </x:c>
      <x:c r="U6" s="48" t="n">
        <x:f>MAX(0,MIN(1,Anchor_Data!U6+Controls!$B$25))</x:f>
        <x:v>0.58</x:v>
      </x:c>
      <x:c r="V6" s="48" t="n">
        <x:f>MAX(0,MIN(1,Anchor_Data!V6+Controls!$B$25))</x:f>
        <x:v>0.59</x:v>
      </x:c>
      <x:c r="W6" s="31" t="n">
        <x:f>MAX(-1,MIN(1,Anchor_Data!W6+Controls!$B$26))</x:f>
        <x:v>0.1</x:v>
      </x:c>
      <x:c r="X6" s="31" t="n">
        <x:f>MAX(0,MIN(1,Anchor_Data!X6+Controls!$B$27))</x:f>
        <x:v>0.44</x:v>
      </x:c>
      <x:c r="Y6" s="31" t="n">
        <x:f>MAX(0,Anchor_Data!Y6+Controls!$B$28)</x:f>
        <x:v>0.4</x:v>
      </x:c>
      <x:c r="Z6" s="31" t="n">
        <x:f>MAX(0,Anchor_Data!Z6+Controls!$B$29)</x:f>
        <x:v>0.02</x:v>
      </x:c>
      <x:c r="AA6" s="31" t="n">
        <x:f>MAX(0,Anchor_Data!AA6+Controls!$B$30)</x:f>
        <x:v>0.1</x:v>
      </x:c>
      <x:c r="AB6" s="31" t="n">
        <x:f>MAX(0,MIN(1,Anchor_Data!AB6+Controls!$B$31))</x:f>
        <x:v>0.06</x:v>
      </x:c>
      <x:c r="AC6" s="31" t="n">
        <x:f>Anchor_Data!AC6+Controls!$B$32</x:f>
        <x:v>0.48</x:v>
      </x:c>
      <x:c r="AD6" s="32" t="n"/>
    </x:row>
    <x:row r="7">
      <x:c r="A7" s="46" t="n">
        <x:f>Anchor_Data!A7</x:f>
        <x:v>46082</x:v>
      </x:c>
      <x:c r="B7" s="47" t="n">
        <x:f>Anchor_Data!B7*Controls!$B$14</x:f>
        <x:v>186.03</x:v>
      </x:c>
      <x:c r="C7" s="47" t="n">
        <x:f>Anchor_Data!C7*Controls!$B$14</x:f>
        <x:v>195.549</x:v>
      </x:c>
      <x:c r="D7" s="47" t="n">
        <x:f>Anchor_Data!D7*Controls!$B$14</x:f>
        <x:v>171.871</x:v>
      </x:c>
      <x:c r="E7" s="5" t="n">
        <x:f>Anchor_Data!E7*Controls!$B$15</x:f>
        <x:v>970</x:v>
      </x:c>
      <x:c r="F7" s="5" t="n">
        <x:f>Anchor_Data!F7*Controls!$B$16</x:f>
        <x:v>6506.48</x:v>
      </x:c>
      <x:c r="G7" s="5" t="n">
        <x:f>Anchor_Data!G7*Controls!$B$16</x:f>
        <x:v>23898.15</x:v>
      </x:c>
      <x:c r="H7" s="5" t="n">
        <x:f>Anchor_Data!H7*Controls!$B$16</x:f>
        <x:v>140.43</x:v>
      </x:c>
      <x:c r="I7" s="5" t="n">
        <x:f>Anchor_Data!I7*Controls!$B$16</x:f>
        <x:v>7914.6</x:v>
      </x:c>
      <x:c r="J7" s="5" t="n">
        <x:f>Anchor_Data!J7*Controls!$B$17</x:f>
        <x:v>54453</x:v>
      </x:c>
      <x:c r="K7" s="5" t="n">
        <x:f>Anchor_Data!K7*Controls!$B$17</x:f>
        <x:v>25321.34</x:v>
      </x:c>
      <x:c r="L7" s="5" t="n">
        <x:f>Anchor_Data!L7*Controls!$B$17</x:f>
        <x:v>4796.33</x:v>
      </x:c>
      <x:c r="M7" s="47" t="n">
        <x:f>Anchor_Data!M7+Controls!$B$18</x:f>
        <x:v>25.09</x:v>
      </x:c>
      <x:c r="N7" s="47" t="n">
        <x:f>Anchor_Data!N7+Controls!$B$19</x:f>
        <x:v>140.44</x:v>
      </x:c>
      <x:c r="O7" s="47" t="n">
        <x:f>Anchor_Data!O7+Controls!$B$20</x:f>
        <x:v>24.44</x:v>
      </x:c>
      <x:c r="P7" s="5" t="n">
        <x:f>Anchor_Data!P7+Controls!$B$21</x:f>
        <x:v>152.44</x:v>
      </x:c>
      <x:c r="Q7" s="29" t="n">
        <x:f>Anchor_Data!Q7+Controls!$B$22</x:f>
        <x:v>425</x:v>
      </x:c>
      <x:c r="R7" s="29" t="n">
        <x:f>Anchor_Data!R7+Controls!$B$23</x:f>
        <x:v>379</x:v>
      </x:c>
      <x:c r="S7" s="47" t="n">
        <x:f>Anchor_Data!S7*Controls!$B$24</x:f>
        <x:v>159.54</x:v>
      </x:c>
      <x:c r="T7" s="48" t="n">
        <x:f>MAX(0,MIN(1,Anchor_Data!T7+Controls!$B$25))</x:f>
        <x:v>0.44</x:v>
      </x:c>
      <x:c r="U7" s="48" t="n">
        <x:f>MAX(0,MIN(1,Anchor_Data!U7+Controls!$B$25))</x:f>
        <x:v>0.42</x:v>
      </x:c>
      <x:c r="V7" s="48" t="n">
        <x:f>MAX(0,MIN(1,Anchor_Data!V7+Controls!$B$25))</x:f>
        <x:v>0.4</x:v>
      </x:c>
      <x:c r="W7" s="31" t="n">
        <x:f>MAX(-1,MIN(1,Anchor_Data!W7+Controls!$B$26))</x:f>
        <x:v>-0.35</x:v>
      </x:c>
      <x:c r="X7" s="31" t="n">
        <x:f>MAX(0,MIN(1,Anchor_Data!X7+Controls!$B$27))</x:f>
        <x:v>0.39</x:v>
      </x:c>
      <x:c r="Y7" s="31" t="n">
        <x:f>MAX(0,Anchor_Data!Y7+Controls!$B$28)</x:f>
        <x:v>0.46</x:v>
      </x:c>
      <x:c r="Z7" s="31" t="n">
        <x:f>MAX(0,Anchor_Data!Z7+Controls!$B$29)</x:f>
        <x:v>0.06</x:v>
      </x:c>
      <x:c r="AA7" s="31" t="n">
        <x:f>MAX(0,Anchor_Data!AA7+Controls!$B$30)</x:f>
        <x:v>0.15</x:v>
      </x:c>
      <x:c r="AB7" s="31" t="n">
        <x:f>MAX(0,MIN(1,Anchor_Data!AB7+Controls!$B$31))</x:f>
        <x:v>0</x:v>
      </x:c>
      <x:c r="AC7" s="31" t="n">
        <x:f>Anchor_Data!AC7+Controls!$B$32</x:f>
        <x:v>0.45</x:v>
      </x:c>
      <x:c r="AD7" s="32" t="n"/>
    </x:row>
    <x:row r="8">
      <x:c r="A8" s="46" t="n">
        <x:f>Anchor_Data!A8</x:f>
        <x:v>46113</x:v>
      </x:c>
      <x:c r="B8" s="47" t="n">
        <x:f>Anchor_Data!B8*Controls!$B$14</x:f>
        <x:v>199.510435</x:v>
      </x:c>
      <x:c r="C8" s="47" t="n">
        <x:f>Anchor_Data!C8*Controls!$B$14</x:f>
        <x:v>209.719217</x:v>
      </x:c>
      <x:c r="D8" s="47" t="n">
        <x:f>Anchor_Data!D8*Controls!$B$14</x:f>
        <x:v>184.32542</x:v>
      </x:c>
      <x:c r="E8" s="5" t="n">
        <x:f>Anchor_Data!E8*Controls!$B$15</x:f>
        <x:v>1005</x:v>
      </x:c>
      <x:c r="F8" s="5" t="n">
        <x:f>Anchor_Data!F8*Controls!$B$16</x:f>
        <x:v>6662.526966</x:v>
      </x:c>
      <x:c r="G8" s="5" t="n">
        <x:f>Anchor_Data!G8*Controls!$B$16</x:f>
        <x:v>24921.138585</x:v>
      </x:c>
      <x:c r="H8" s="5" t="n">
        <x:f>Anchor_Data!H8*Controls!$B$16</x:f>
        <x:v>145.831154</x:v>
      </x:c>
      <x:c r="I8" s="5" t="n">
        <x:f>Anchor_Data!I8*Controls!$B$16</x:f>
        <x:v>8332.073407</x:v>
      </x:c>
      <x:c r="J8" s="5" t="n">
        <x:f>Anchor_Data!J8*Controls!$B$17</x:f>
        <x:v>56670.542986</x:v>
      </x:c>
      <x:c r="K8" s="5" t="n">
        <x:f>Anchor_Data!K8*Controls!$B$17</x:f>
        <x:v>26176.584294</x:v>
      </x:c>
      <x:c r="L8" s="5" t="n">
        <x:f>Anchor_Data!L8*Controls!$B$17</x:f>
        <x:v>4986.428445</x:v>
      </x:c>
      <x:c r="M8" s="47" t="n">
        <x:f>Anchor_Data!M8+Controls!$B$18</x:f>
        <x:v>23.066613</x:v>
      </x:c>
      <x:c r="N8" s="47" t="n">
        <x:f>Anchor_Data!N8+Controls!$B$19</x:f>
        <x:v>130.987308</x:v>
      </x:c>
      <x:c r="O8" s="47" t="n">
        <x:f>Anchor_Data!O8+Controls!$B$20</x:f>
        <x:v>21.385</x:v>
      </x:c>
      <x:c r="P8" s="5" t="n">
        <x:f>Anchor_Data!P8+Controls!$B$21</x:f>
        <x:v>150.322778</x:v>
      </x:c>
      <x:c r="Q8" s="29" t="n">
        <x:f>Anchor_Data!Q8+Controls!$B$22</x:f>
        <x:v>439.200477</x:v>
      </x:c>
      <x:c r="R8" s="29" t="n">
        <x:f>Anchor_Data!R8+Controls!$B$23</x:f>
        <x:v>389.396509</x:v>
      </x:c>
      <x:c r="S8" s="47" t="n">
        <x:f>Anchor_Data!S8*Controls!$B$24</x:f>
        <x:v>162.502572</x:v>
      </x:c>
      <x:c r="T8" s="48" t="n">
        <x:f>MAX(0,MIN(1,Anchor_Data!T8+Controls!$B$25))</x:f>
        <x:v>0.58</x:v>
      </x:c>
      <x:c r="U8" s="48" t="n">
        <x:f>MAX(0,MIN(1,Anchor_Data!U8+Controls!$B$25))</x:f>
        <x:v>0.6</x:v>
      </x:c>
      <x:c r="V8" s="48" t="n">
        <x:f>MAX(0,MIN(1,Anchor_Data!V8+Controls!$B$25))</x:f>
        <x:v>0.62</x:v>
      </x:c>
      <x:c r="W8" s="31" t="n">
        <x:f>MAX(-1,MIN(1,Anchor_Data!W8+Controls!$B$26))</x:f>
        <x:v>-0.05</x:v>
      </x:c>
      <x:c r="X8" s="31" t="n">
        <x:f>MAX(0,MIN(1,Anchor_Data!X8+Controls!$B$27))</x:f>
        <x:v>0.46</x:v>
      </x:c>
      <x:c r="Y8" s="31" t="n">
        <x:f>MAX(0,Anchor_Data!Y8+Controls!$B$28)</x:f>
        <x:v>0.43</x:v>
      </x:c>
      <x:c r="Z8" s="31" t="n">
        <x:f>MAX(0,Anchor_Data!Z8+Controls!$B$29)</x:f>
        <x:v>0.04</x:v>
      </x:c>
      <x:c r="AA8" s="31" t="n">
        <x:f>MAX(0,Anchor_Data!AA8+Controls!$B$30)</x:f>
        <x:v>0.13</x:v>
      </x:c>
      <x:c r="AB8" s="31" t="n">
        <x:f>MAX(0,MIN(1,Anchor_Data!AB8+Controls!$B$31))</x:f>
        <x:v>0.02</x:v>
      </x:c>
      <x:c r="AC8" s="31" t="n">
        <x:f>Anchor_Data!AC8+Controls!$B$32</x:f>
        <x:v>0.5</x:v>
      </x:c>
      <x:c r="AD8" s="32" t="n"/>
    </x:row>
    <x:row r="9">
      <x:c r="A9" s="46" t="n">
        <x:f>Anchor_Data!A9</x:f>
        <x:v>46143</x:v>
      </x:c>
      <x:c r="B9" s="47" t="n">
        <x:f>Anchor_Data!B9*Controls!$B$14</x:f>
        <x:v>207.598696</x:v>
      </x:c>
      <x:c r="C9" s="47" t="n">
        <x:f>Anchor_Data!C9*Controls!$B$14</x:f>
        <x:v>218.221348</x:v>
      </x:c>
      <x:c r="D9" s="47" t="n">
        <x:f>Anchor_Data!D9*Controls!$B$14</x:f>
        <x:v>191.798072</x:v>
      </x:c>
      <x:c r="E9" s="5" t="n">
        <x:f>Anchor_Data!E9*Controls!$B$15</x:f>
        <x:v>1040</x:v>
      </x:c>
      <x:c r="F9" s="5" t="n">
        <x:f>Anchor_Data!F9*Controls!$B$16</x:f>
        <x:v>6791.435328</x:v>
      </x:c>
      <x:c r="G9" s="5" t="n">
        <x:f>Anchor_Data!G9*Controls!$B$16</x:f>
        <x:v>25588.9228</x:v>
      </x:c>
      <x:c r="H9" s="5" t="n">
        <x:f>Anchor_Data!H9*Controls!$B$16</x:f>
        <x:v>148.531731</x:v>
      </x:c>
      <x:c r="I9" s="5" t="n">
        <x:f>Anchor_Data!I9*Controls!$B$16</x:f>
        <x:v>8506.020659</x:v>
      </x:c>
      <x:c r="J9" s="5" t="n">
        <x:f>Anchor_Data!J9*Controls!$B$17</x:f>
        <x:v>57656.117647</x:v>
      </x:c>
      <x:c r="K9" s="5" t="n">
        <x:f>Anchor_Data!K9*Controls!$B$17</x:f>
        <x:v>26588.934222</x:v>
      </x:c>
      <x:c r="L9" s="5" t="n">
        <x:f>Anchor_Data!L9*Controls!$B$17</x:f>
        <x:v>5074.166189</x:v>
      </x:c>
      <x:c r="M9" s="47" t="n">
        <x:f>Anchor_Data!M9+Controls!$B$18</x:f>
        <x:v>22.122366</x:v>
      </x:c>
      <x:c r="N9" s="47" t="n">
        <x:f>Anchor_Data!N9+Controls!$B$19</x:f>
        <x:v>128.286538</x:v>
      </x:c>
      <x:c r="O9" s="47" t="n">
        <x:f>Anchor_Data!O9+Controls!$B$20</x:f>
        <x:v>20.239375</x:v>
      </x:c>
      <x:c r="P9" s="5" t="n">
        <x:f>Anchor_Data!P9+Controls!$B$21</x:f>
        <x:v>149.264167</x:v>
      </x:c>
      <x:c r="Q9" s="29" t="n">
        <x:f>Anchor_Data!Q9+Controls!$B$22</x:f>
        <x:v>445.286396</x:v>
      </x:c>
      <x:c r="R9" s="29" t="n">
        <x:f>Anchor_Data!R9+Controls!$B$23</x:f>
        <x:v>394.122195</x:v>
      </x:c>
      <x:c r="S9" s="47" t="n">
        <x:f>Anchor_Data!S9*Controls!$B$24</x:f>
        <x:v>163.819271</x:v>
      </x:c>
      <x:c r="T9" s="48" t="n">
        <x:f>MAX(0,MIN(1,Anchor_Data!T9+Controls!$B$25))</x:f>
        <x:v>0.6</x:v>
      </x:c>
      <x:c r="U9" s="48" t="n">
        <x:f>MAX(0,MIN(1,Anchor_Data!U9+Controls!$B$25))</x:f>
        <x:v>0.63</x:v>
      </x:c>
      <x:c r="V9" s="48" t="n">
        <x:f>MAX(0,MIN(1,Anchor_Data!V9+Controls!$B$25))</x:f>
        <x:v>0.65</x:v>
      </x:c>
      <x:c r="W9" s="31" t="n">
        <x:f>MAX(-1,MIN(1,Anchor_Data!W9+Controls!$B$26))</x:f>
        <x:v>0.05</x:v>
      </x:c>
      <x:c r="X9" s="31" t="n">
        <x:f>MAX(0,MIN(1,Anchor_Data!X9+Controls!$B$27))</x:f>
        <x:v>0.49</x:v>
      </x:c>
      <x:c r="Y9" s="31" t="n">
        <x:f>MAX(0,Anchor_Data!Y9+Controls!$B$28)</x:f>
        <x:v>0.41</x:v>
      </x:c>
      <x:c r="Z9" s="31" t="n">
        <x:f>MAX(0,Anchor_Data!Z9+Controls!$B$29)</x:f>
        <x:v>0.03</x:v>
      </x:c>
      <x:c r="AA9" s="31" t="n">
        <x:f>MAX(0,Anchor_Data!AA9+Controls!$B$30)</x:f>
        <x:v>0.12</x:v>
      </x:c>
      <x:c r="AB9" s="31" t="n">
        <x:f>MAX(0,MIN(1,Anchor_Data!AB9+Controls!$B$31))</x:f>
        <x:v>0.05</x:v>
      </x:c>
      <x:c r="AC9" s="31" t="n">
        <x:f>Anchor_Data!AC9+Controls!$B$32</x:f>
        <x:v>0.52</x:v>
      </x:c>
      <x:c r="AD9" s="32" t="n"/>
    </x:row>
    <x:row r="10">
      <x:c r="A10" s="46" t="n">
        <x:f>Anchor_Data!A10</x:f>
        <x:v>46174</x:v>
      </x:c>
      <x:c r="B10" s="47" t="n">
        <x:f>Anchor_Data!B10*Controls!$B$14</x:f>
        <x:v>215.686957</x:v>
      </x:c>
      <x:c r="C10" s="47" t="n">
        <x:f>Anchor_Data!C10*Controls!$B$14</x:f>
        <x:v>226.723478</x:v>
      </x:c>
      <x:c r="D10" s="47" t="n">
        <x:f>Anchor_Data!D10*Controls!$B$14</x:f>
        <x:v>199.270725</x:v>
      </x:c>
      <x:c r="E10" s="5" t="n">
        <x:f>Anchor_Data!E10*Controls!$B$15</x:f>
        <x:v>1075</x:v>
      </x:c>
      <x:c r="F10" s="5" t="n">
        <x:f>Anchor_Data!F10*Controls!$B$16</x:f>
        <x:v>6886.420438</x:v>
      </x:c>
      <x:c r="G10" s="5" t="n">
        <x:f>Anchor_Data!G10*Controls!$B$16</x:f>
        <x:v>26086.208918</x:v>
      </x:c>
      <x:c r="H10" s="5" t="n">
        <x:f>Anchor_Data!H10*Controls!$B$16</x:f>
        <x:v>151.232308</x:v>
      </x:c>
      <x:c r="I10" s="5" t="n">
        <x:f>Anchor_Data!I10*Controls!$B$16</x:f>
        <x:v>8662.573187</x:v>
      </x:c>
      <x:c r="J10" s="5" t="n">
        <x:f>Anchor_Data!J10*Controls!$B$17</x:f>
        <x:v>58559.561086</x:v>
      </x:c>
      <x:c r="K10" s="5" t="n">
        <x:f>Anchor_Data!K10*Controls!$B$17</x:f>
        <x:v>26909.650832</x:v>
      </x:c>
      <x:c r="L10" s="5" t="n">
        <x:f>Anchor_Data!L10*Controls!$B$17</x:f>
        <x:v>5147.280976</x:v>
      </x:c>
      <x:c r="M10" s="47" t="n">
        <x:f>Anchor_Data!M10+Controls!$B$18</x:f>
        <x:v>21.178118</x:v>
      </x:c>
      <x:c r="N10" s="47" t="n">
        <x:f>Anchor_Data!N10+Controls!$B$19</x:f>
        <x:v>122.885</x:v>
      </x:c>
      <x:c r="O10" s="47" t="n">
        <x:f>Anchor_Data!O10+Controls!$B$20</x:f>
        <x:v>19.221042</x:v>
      </x:c>
      <x:c r="P10" s="5" t="n">
        <x:f>Anchor_Data!P10+Controls!$B$21</x:f>
        <x:v>147.146944</x:v>
      </x:c>
      <x:c r="Q10" s="29" t="n">
        <x:f>Anchor_Data!Q10+Controls!$B$22</x:f>
        <x:v>448.329356</x:v>
      </x:c>
      <x:c r="R10" s="29" t="n">
        <x:f>Anchor_Data!R10+Controls!$B$23</x:f>
        <x:v>396.012469</x:v>
      </x:c>
      <x:c r="S10" s="47" t="n">
        <x:f>Anchor_Data!S10*Controls!$B$24</x:f>
        <x:v>164.587345</x:v>
      </x:c>
      <x:c r="T10" s="48" t="n">
        <x:f>MAX(0,MIN(1,Anchor_Data!T10+Controls!$B$25))</x:f>
        <x:v>0.61</x:v>
      </x:c>
      <x:c r="U10" s="48" t="n">
        <x:f>MAX(0,MIN(1,Anchor_Data!U10+Controls!$B$25))</x:f>
        <x:v>0.64</x:v>
      </x:c>
      <x:c r="V10" s="48" t="n">
        <x:f>MAX(0,MIN(1,Anchor_Data!V10+Controls!$B$25))</x:f>
        <x:v>0.66</x:v>
      </x:c>
      <x:c r="W10" s="31" t="n">
        <x:f>MAX(-1,MIN(1,Anchor_Data!W10+Controls!$B$26))</x:f>
        <x:v>0.1</x:v>
      </x:c>
      <x:c r="X10" s="31" t="n">
        <x:f>MAX(0,MIN(1,Anchor_Data!X10+Controls!$B$27))</x:f>
        <x:v>0.51</x:v>
      </x:c>
      <x:c r="Y10" s="31" t="n">
        <x:f>MAX(0,Anchor_Data!Y10+Controls!$B$28)</x:f>
        <x:v>0.39</x:v>
      </x:c>
      <x:c r="Z10" s="31" t="n">
        <x:f>MAX(0,Anchor_Data!Z10+Controls!$B$29)</x:f>
        <x:v>0.02</x:v>
      </x:c>
      <x:c r="AA10" s="31" t="n">
        <x:f>MAX(0,Anchor_Data!AA10+Controls!$B$30)</x:f>
        <x:v>0.11</x:v>
      </x:c>
      <x:c r="AB10" s="31" t="n">
        <x:f>MAX(0,MIN(1,Anchor_Data!AB10+Controls!$B$31))</x:f>
        <x:v>0.08</x:v>
      </x:c>
      <x:c r="AC10" s="31" t="n">
        <x:f>Anchor_Data!AC10+Controls!$B$32</x:f>
        <x:v>0.53</x:v>
      </x:c>
      <x:c r="AD10" s="32" t="n"/>
    </x:row>
    <x:row r="11">
      <x:c r="A11" s="46" t="n">
        <x:f>Anchor_Data!A11</x:f>
        <x:v>46204</x:v>
      </x:c>
      <x:c r="B11" s="47" t="n">
        <x:f>Anchor_Data!B11*Controls!$B$14</x:f>
        <x:v>223.775217</x:v>
      </x:c>
      <x:c r="C11" s="47" t="n">
        <x:f>Anchor_Data!C11*Controls!$B$14</x:f>
        <x:v>235.225609</x:v>
      </x:c>
      <x:c r="D11" s="47" t="n">
        <x:f>Anchor_Data!D11*Controls!$B$14</x:f>
        <x:v>206.743377</x:v>
      </x:c>
      <x:c r="E11" s="5" t="n">
        <x:f>Anchor_Data!E11*Controls!$B$15</x:f>
        <x:v>1110</x:v>
      </x:c>
      <x:c r="F11" s="5" t="n">
        <x:f>Anchor_Data!F11*Controls!$B$16</x:f>
        <x:v>6988.190198</x:v>
      </x:c>
      <x:c r="G11" s="5" t="n">
        <x:f>Anchor_Data!G11*Controls!$B$16</x:f>
        <x:v>26682.952259</x:v>
      </x:c>
      <x:c r="H11" s="5" t="n">
        <x:f>Anchor_Data!H11*Controls!$B$16</x:f>
        <x:v>153.932885</x:v>
      </x:c>
      <x:c r="I11" s="5" t="n">
        <x:f>Anchor_Data!I11*Controls!$B$16</x:f>
        <x:v>8906.099341</x:v>
      </x:c>
      <x:c r="J11" s="5" t="n">
        <x:f>Anchor_Data!J11*Controls!$B$17</x:f>
        <x:v>59463.004525</x:v>
      </x:c>
      <x:c r="K11" s="5" t="n">
        <x:f>Anchor_Data!K11*Controls!$B$17</x:f>
        <x:v>27337.272979</x:v>
      </x:c>
      <x:c r="L11" s="5" t="n">
        <x:f>Anchor_Data!L11*Controls!$B$17</x:f>
        <x:v>5264.264634</x:v>
      </x:c>
      <x:c r="M11" s="47" t="n">
        <x:f>Anchor_Data!M11+Controls!$B$18</x:f>
        <x:v>20.503656</x:v>
      </x:c>
      <x:c r="N11" s="47" t="n">
        <x:f>Anchor_Data!N11+Controls!$B$19</x:f>
        <x:v>120.184231</x:v>
      </x:c>
      <x:c r="O11" s="47" t="n">
        <x:f>Anchor_Data!O11+Controls!$B$20</x:f>
        <x:v>18.457292</x:v>
      </x:c>
      <x:c r="P11" s="5" t="n">
        <x:f>Anchor_Data!P11+Controls!$B$21</x:f>
        <x:v>146.088333</x:v>
      </x:c>
      <x:c r="Q11" s="29" t="n">
        <x:f>Anchor_Data!Q11+Controls!$B$22</x:f>
        <x:v>451.372315</x:v>
      </x:c>
      <x:c r="R11" s="29" t="n">
        <x:f>Anchor_Data!R11+Controls!$B$23</x:f>
        <x:v>397.902743</x:v>
      </x:c>
      <x:c r="S11" s="47" t="n">
        <x:f>Anchor_Data!S11*Controls!$B$24</x:f>
        <x:v>165.904044</x:v>
      </x:c>
      <x:c r="T11" s="48" t="n">
        <x:f>MAX(0,MIN(1,Anchor_Data!T11+Controls!$B$25))</x:f>
        <x:v>0.63</x:v>
      </x:c>
      <x:c r="U11" s="48" t="n">
        <x:f>MAX(0,MIN(1,Anchor_Data!U11+Controls!$B$25))</x:f>
        <x:v>0.67</x:v>
      </x:c>
      <x:c r="V11" s="48" t="n">
        <x:f>MAX(0,MIN(1,Anchor_Data!V11+Controls!$B$25))</x:f>
        <x:v>0.69</x:v>
      </x:c>
      <x:c r="W11" s="31" t="n">
        <x:f>MAX(-1,MIN(1,Anchor_Data!W11+Controls!$B$26))</x:f>
        <x:v>0.18</x:v>
      </x:c>
      <x:c r="X11" s="31" t="n">
        <x:f>MAX(0,MIN(1,Anchor_Data!X11+Controls!$B$27))</x:f>
        <x:v>0.54</x:v>
      </x:c>
      <x:c r="Y11" s="31" t="n">
        <x:f>MAX(0,Anchor_Data!Y11+Controls!$B$28)</x:f>
        <x:v>0.38</x:v>
      </x:c>
      <x:c r="Z11" s="31" t="n">
        <x:f>MAX(0,Anchor_Data!Z11+Controls!$B$29)</x:f>
        <x:v>0.01</x:v>
      </x:c>
      <x:c r="AA11" s="31" t="n">
        <x:f>MAX(0,Anchor_Data!AA11+Controls!$B$30)</x:f>
        <x:v>0.1</x:v>
      </x:c>
      <x:c r="AB11" s="31" t="n">
        <x:f>MAX(0,MIN(1,Anchor_Data!AB11+Controls!$B$31))</x:f>
        <x:v>0.12</x:v>
      </x:c>
      <x:c r="AC11" s="31" t="n">
        <x:f>Anchor_Data!AC11+Controls!$B$32</x:f>
        <x:v>0.55</x:v>
      </x:c>
      <x:c r="AD11" s="32" t="n"/>
    </x:row>
    <x:row r="12">
      <x:c r="A12" s="46" t="n">
        <x:f>Anchor_Data!A12</x:f>
        <x:v>46235</x:v>
      </x:c>
      <x:c r="B12" s="47" t="n">
        <x:f>Anchor_Data!B12*Controls!$B$14</x:f>
        <x:v>230.515435</x:v>
      </x:c>
      <x:c r="C12" s="47" t="n">
        <x:f>Anchor_Data!C12*Controls!$B$14</x:f>
        <x:v>242.310717</x:v>
      </x:c>
      <x:c r="D12" s="47" t="n">
        <x:f>Anchor_Data!D12*Controls!$B$14</x:f>
        <x:v>212.970587</x:v>
      </x:c>
      <x:c r="E12" s="5" t="n">
        <x:f>Anchor_Data!E12*Controls!$B$15</x:f>
        <x:v>1145</x:v>
      </x:c>
      <x:c r="F12" s="5" t="n">
        <x:f>Anchor_Data!F12*Controls!$B$16</x:f>
        <x:v>7049.252054</x:v>
      </x:c>
      <x:c r="G12" s="5" t="n">
        <x:f>Anchor_Data!G12*Controls!$B$16</x:f>
        <x:v>27052.364804</x:v>
      </x:c>
      <x:c r="H12" s="5" t="n">
        <x:f>Anchor_Data!H12*Controls!$B$16</x:f>
        <x:v>155.958317</x:v>
      </x:c>
      <x:c r="I12" s="5" t="n">
        <x:f>Anchor_Data!I12*Controls!$B$16</x:f>
        <x:v>9062.651868</x:v>
      </x:c>
      <x:c r="J12" s="5" t="n">
        <x:f>Anchor_Data!J12*Controls!$B$17</x:f>
        <x:v>60120.054299</x:v>
      </x:c>
      <x:c r="K12" s="5" t="n">
        <x:f>Anchor_Data!K12*Controls!$B$17</x:f>
        <x:v>27673.261809</x:v>
      </x:c>
      <x:c r="L12" s="5" t="n">
        <x:f>Anchor_Data!L12*Controls!$B$17</x:f>
        <x:v>5344.690899</x:v>
      </x:c>
      <x:c r="M12" s="47" t="n">
        <x:f>Anchor_Data!M12+Controls!$B$18</x:f>
        <x:v>20.098978</x:v>
      </x:c>
      <x:c r="N12" s="47" t="n">
        <x:f>Anchor_Data!N12+Controls!$B$19</x:f>
        <x:v>118.833846</x:v>
      </x:c>
      <x:c r="O12" s="47" t="n">
        <x:f>Anchor_Data!O12+Controls!$B$20</x:f>
        <x:v>18.075417</x:v>
      </x:c>
      <x:c r="P12" s="5" t="n">
        <x:f>Anchor_Data!P12+Controls!$B$21</x:f>
        <x:v>145.029722</x:v>
      </x:c>
      <x:c r="Q12" s="29" t="n">
        <x:f>Anchor_Data!Q12+Controls!$B$22</x:f>
        <x:v>453.400955</x:v>
      </x:c>
      <x:c r="R12" s="29" t="n">
        <x:f>Anchor_Data!R12+Controls!$B$23</x:f>
        <x:v>399.793017</x:v>
      </x:c>
      <x:c r="S12" s="47" t="n">
        <x:f>Anchor_Data!S12*Controls!$B$24</x:f>
        <x:v>166.562393</x:v>
      </x:c>
      <x:c r="T12" s="48" t="n">
        <x:f>MAX(0,MIN(1,Anchor_Data!T12+Controls!$B$25))</x:f>
        <x:v>0.64</x:v>
      </x:c>
      <x:c r="U12" s="48" t="n">
        <x:f>MAX(0,MIN(1,Anchor_Data!U12+Controls!$B$25))</x:f>
        <x:v>0.68</x:v>
      </x:c>
      <x:c r="V12" s="48" t="n">
        <x:f>MAX(0,MIN(1,Anchor_Data!V12+Controls!$B$25))</x:f>
        <x:v>0.7</x:v>
      </x:c>
      <x:c r="W12" s="31" t="n">
        <x:f>MAX(-1,MIN(1,Anchor_Data!W12+Controls!$B$26))</x:f>
        <x:v>0.2</x:v>
      </x:c>
      <x:c r="X12" s="31" t="n">
        <x:f>MAX(0,MIN(1,Anchor_Data!X12+Controls!$B$27))</x:f>
        <x:v>0.56</x:v>
      </x:c>
      <x:c r="Y12" s="31" t="n">
        <x:f>MAX(0,Anchor_Data!Y12+Controls!$B$28)</x:f>
        <x:v>0.37</x:v>
      </x:c>
      <x:c r="Z12" s="31" t="n">
        <x:f>MAX(0,Anchor_Data!Z12+Controls!$B$29)</x:f>
        <x:v>0.01</x:v>
      </x:c>
      <x:c r="AA12" s="31" t="n">
        <x:f>MAX(0,Anchor_Data!AA12+Controls!$B$30)</x:f>
        <x:v>0.1</x:v>
      </x:c>
      <x:c r="AB12" s="31" t="n">
        <x:f>MAX(0,MIN(1,Anchor_Data!AB12+Controls!$B$31))</x:f>
        <x:v>0.14</x:v>
      </x:c>
      <x:c r="AC12" s="31" t="n">
        <x:f>Anchor_Data!AC12+Controls!$B$32</x:f>
        <x:v>0.57</x:v>
      </x:c>
      <x:c r="AD12" s="32" t="n"/>
    </x:row>
    <x:row r="13">
      <x:c r="A13" s="46" t="n">
        <x:f>Anchor_Data!A13</x:f>
        <x:v>46266</x:v>
      </x:c>
      <x:c r="B13" s="47" t="n">
        <x:f>Anchor_Data!B13*Controls!$B$14</x:f>
        <x:v>226.471304</x:v>
      </x:c>
      <x:c r="C13" s="47" t="n">
        <x:f>Anchor_Data!C13*Controls!$B$14</x:f>
        <x:v>238.059652</x:v>
      </x:c>
      <x:c r="D13" s="47" t="n">
        <x:f>Anchor_Data!D13*Controls!$B$14</x:f>
        <x:v>209.234261</x:v>
      </x:c>
      <x:c r="E13" s="5" t="n">
        <x:f>Anchor_Data!E13*Controls!$B$15</x:f>
        <x:v>1180</x:v>
      </x:c>
      <x:c r="F13" s="5" t="n">
        <x:f>Anchor_Data!F13*Controls!$B$16</x:f>
        <x:v>6974.620897</x:v>
      </x:c>
      <x:c r="G13" s="5" t="n">
        <x:f>Anchor_Data!G13*Controls!$B$16</x:f>
        <x:v>26597.70321</x:v>
      </x:c>
      <x:c r="H13" s="5" t="n">
        <x:f>Anchor_Data!H13*Controls!$B$16</x:f>
        <x:v>154.608029</x:v>
      </x:c>
      <x:c r="I13" s="5" t="n">
        <x:f>Anchor_Data!I13*Controls!$B$16</x:f>
        <x:v>8975.678242</x:v>
      </x:c>
      <x:c r="J13" s="5" t="n">
        <x:f>Anchor_Data!J13*Controls!$B$17</x:f>
        <x:v>59052.348416</x:v>
      </x:c>
      <x:c r="K13" s="5" t="n">
        <x:f>Anchor_Data!K13*Controls!$B$17</x:f>
        <x:v>27108.189686</x:v>
      </x:c>
      <x:c r="L13" s="5" t="n">
        <x:f>Anchor_Data!L13*Controls!$B$17</x:f>
        <x:v>5235.01872</x:v>
      </x:c>
      <x:c r="M13" s="47" t="n">
        <x:f>Anchor_Data!M13+Controls!$B$18</x:f>
        <x:v>22.661935</x:v>
      </x:c>
      <x:c r="N13" s="47" t="n">
        <x:f>Anchor_Data!N13+Controls!$B$19</x:f>
        <x:v>129.636923</x:v>
      </x:c>
      <x:c r="O13" s="47" t="n">
        <x:f>Anchor_Data!O13+Controls!$B$20</x:f>
        <x:v>22.785208</x:v>
      </x:c>
      <x:c r="P13" s="5" t="n">
        <x:f>Anchor_Data!P13+Controls!$B$21</x:f>
        <x:v>149.264167</x:v>
      </x:c>
      <x:c r="Q13" s="29" t="n">
        <x:f>Anchor_Data!Q13+Controls!$B$22</x:f>
        <x:v>446.300716</x:v>
      </x:c>
      <x:c r="R13" s="29" t="n">
        <x:f>Anchor_Data!R13+Controls!$B$23</x:f>
        <x:v>395.067332</x:v>
      </x:c>
      <x:c r="S13" s="47" t="n">
        <x:f>Anchor_Data!S13*Controls!$B$24</x:f>
        <x:v>165.026245</x:v>
      </x:c>
      <x:c r="T13" s="48" t="n">
        <x:f>MAX(0,MIN(1,Anchor_Data!T13+Controls!$B$25))</x:f>
        <x:v>0.51</x:v>
      </x:c>
      <x:c r="U13" s="48" t="n">
        <x:f>MAX(0,MIN(1,Anchor_Data!U13+Controls!$B$25))</x:f>
        <x:v>0.52</x:v>
      </x:c>
      <x:c r="V13" s="48" t="n">
        <x:f>MAX(0,MIN(1,Anchor_Data!V13+Controls!$B$25))</x:f>
        <x:v>0.54</x:v>
      </x:c>
      <x:c r="W13" s="31" t="n">
        <x:f>MAX(-1,MIN(1,Anchor_Data!W13+Controls!$B$26))</x:f>
        <x:v>-0.1</x:v>
      </x:c>
      <x:c r="X13" s="31" t="n">
        <x:f>MAX(0,MIN(1,Anchor_Data!X13+Controls!$B$27))</x:f>
        <x:v>0.48</x:v>
      </x:c>
      <x:c r="Y13" s="31" t="n">
        <x:f>MAX(0,Anchor_Data!Y13+Controls!$B$28)</x:f>
        <x:v>0.41</x:v>
      </x:c>
      <x:c r="Z13" s="31" t="n">
        <x:f>MAX(0,Anchor_Data!Z13+Controls!$B$29)</x:f>
        <x:v>0.04</x:v>
      </x:c>
      <x:c r="AA13" s="31" t="n">
        <x:f>MAX(0,Anchor_Data!AA13+Controls!$B$30)</x:f>
        <x:v>0.12</x:v>
      </x:c>
      <x:c r="AB13" s="31" t="n">
        <x:f>MAX(0,MIN(1,Anchor_Data!AB13+Controls!$B$31))</x:f>
        <x:v>0</x:v>
      </x:c>
      <x:c r="AC13" s="31" t="n">
        <x:f>Anchor_Data!AC13+Controls!$B$32</x:f>
        <x:v>0.51</x:v>
      </x:c>
      <x:c r="AD13" s="32" t="n"/>
    </x:row>
    <x:row r="14">
      <x:c r="A14" s="46" t="n">
        <x:f>Anchor_Data!A14</x:f>
        <x:v>46296</x:v>
      </x:c>
      <x:c r="B14" s="47" t="n">
        <x:f>Anchor_Data!B14*Controls!$B$14</x:f>
        <x:v>237.255652</x:v>
      </x:c>
      <x:c r="C14" s="47" t="n">
        <x:f>Anchor_Data!C14*Controls!$B$14</x:f>
        <x:v>249.395826</x:v>
      </x:c>
      <x:c r="D14" s="47" t="n">
        <x:f>Anchor_Data!D14*Controls!$B$14</x:f>
        <x:v>219.197797</x:v>
      </x:c>
      <x:c r="E14" s="5" t="n">
        <x:f>Anchor_Data!E14*Controls!$B$15</x:f>
        <x:v>1215</x:v>
      </x:c>
      <x:c r="F14" s="5" t="n">
        <x:f>Anchor_Data!F14*Controls!$B$16</x:f>
        <x:v>7110.31391</x:v>
      </x:c>
      <x:c r="G14" s="5" t="n">
        <x:f>Anchor_Data!G14*Controls!$B$16</x:f>
        <x:v>27308.11195</x:v>
      </x:c>
      <x:c r="H14" s="5" t="n">
        <x:f>Anchor_Data!H14*Controls!$B$16</x:f>
        <x:v>157.98375</x:v>
      </x:c>
      <x:c r="I14" s="5" t="n">
        <x:f>Anchor_Data!I14*Controls!$B$16</x:f>
        <x:v>9184.414945</x:v>
      </x:c>
      <x:c r="J14" s="5" t="n">
        <x:f>Anchor_Data!J14*Controls!$B$17</x:f>
        <x:v>60777.104072</x:v>
      </x:c>
      <x:c r="K14" s="5" t="n">
        <x:f>Anchor_Data!K14*Controls!$B$17</x:f>
        <x:v>28039.795078</x:v>
      </x:c>
      <x:c r="L14" s="5" t="n">
        <x:f>Anchor_Data!L14*Controls!$B$17</x:f>
        <x:v>5425.117165</x:v>
      </x:c>
      <x:c r="M14" s="47" t="n">
        <x:f>Anchor_Data!M14+Controls!$B$18</x:f>
        <x:v>21.447903</x:v>
      </x:c>
      <x:c r="N14" s="47" t="n">
        <x:f>Anchor_Data!N14+Controls!$B$19</x:f>
        <x:v>124.235385</x:v>
      </x:c>
      <x:c r="O14" s="47" t="n">
        <x:f>Anchor_Data!O14+Controls!$B$20</x:f>
        <x:v>19.8575</x:v>
      </x:c>
      <x:c r="P14" s="5" t="n">
        <x:f>Anchor_Data!P14+Controls!$B$21</x:f>
        <x:v>147.146944</x:v>
      </x:c>
      <x:c r="Q14" s="29" t="n">
        <x:f>Anchor_Data!Q14+Controls!$B$22</x:f>
        <x:v>457.458234</x:v>
      </x:c>
      <x:c r="R14" s="29" t="n">
        <x:f>Anchor_Data!R14+Controls!$B$23</x:f>
        <x:v>402.628429</x:v>
      </x:c>
      <x:c r="S14" s="47" t="n">
        <x:f>Anchor_Data!S14*Controls!$B$24</x:f>
        <x:v>166.891568</x:v>
      </x:c>
      <x:c r="T14" s="48" t="n">
        <x:f>MAX(0,MIN(1,Anchor_Data!T14+Controls!$B$25))</x:f>
        <x:v>0.62</x:v>
      </x:c>
      <x:c r="U14" s="48" t="n">
        <x:f>MAX(0,MIN(1,Anchor_Data!U14+Controls!$B$25))</x:f>
        <x:v>0.66</x:v>
      </x:c>
      <x:c r="V14" s="48" t="n">
        <x:f>MAX(0,MIN(1,Anchor_Data!V14+Controls!$B$25))</x:f>
        <x:v>0.68</x:v>
      </x:c>
      <x:c r="W14" s="31" t="n">
        <x:f>MAX(-1,MIN(1,Anchor_Data!W14+Controls!$B$26))</x:f>
        <x:v>0.12</x:v>
      </x:c>
      <x:c r="X14" s="31" t="n">
        <x:f>MAX(0,MIN(1,Anchor_Data!X14+Controls!$B$27))</x:f>
        <x:v>0.58</x:v>
      </x:c>
      <x:c r="Y14" s="31" t="n">
        <x:f>MAX(0,Anchor_Data!Y14+Controls!$B$28)</x:f>
        <x:v>0.39</x:v>
      </x:c>
      <x:c r="Z14" s="31" t="n">
        <x:f>MAX(0,Anchor_Data!Z14+Controls!$B$29)</x:f>
        <x:v>0.02</x:v>
      </x:c>
      <x:c r="AA14" s="31" t="n">
        <x:f>MAX(0,Anchor_Data!AA14+Controls!$B$30)</x:f>
        <x:v>0.11</x:v>
      </x:c>
      <x:c r="AB14" s="31" t="n">
        <x:f>MAX(0,MIN(1,Anchor_Data!AB14+Controls!$B$31))</x:f>
        <x:v>0.1</x:v>
      </x:c>
      <x:c r="AC14" s="31" t="n">
        <x:f>Anchor_Data!AC14+Controls!$B$32</x:f>
        <x:v>0.58</x:v>
      </x:c>
      <x:c r="AD14" s="32" t="n"/>
    </x:row>
    <x:row r="15">
      <x:c r="A15" s="46" t="n">
        <x:f>Anchor_Data!A15</x:f>
        <x:v>46327</x:v>
      </x:c>
      <x:c r="B15" s="47" t="n">
        <x:f>Anchor_Data!B15*Controls!$B$14</x:f>
        <x:v>248.04</x:v>
      </x:c>
      <x:c r="C15" s="47" t="n">
        <x:f>Anchor_Data!C15*Controls!$B$14</x:f>
        <x:v>260.732</x:v>
      </x:c>
      <x:c r="D15" s="47" t="n">
        <x:f>Anchor_Data!D15*Controls!$B$14</x:f>
        <x:v>229.161333</x:v>
      </x:c>
      <x:c r="E15" s="5" t="n">
        <x:f>Anchor_Data!E15*Controls!$B$15</x:f>
        <x:v>1250</x:v>
      </x:c>
      <x:c r="F15" s="5" t="n">
        <x:f>Anchor_Data!F15*Controls!$B$16</x:f>
        <x:v>7205.29902</x:v>
      </x:c>
      <x:c r="G15" s="5" t="n">
        <x:f>Anchor_Data!G15*Controls!$B$16</x:f>
        <x:v>27904.855291</x:v>
      </x:c>
      <x:c r="H15" s="5" t="n">
        <x:f>Anchor_Data!H15*Controls!$B$16</x:f>
        <x:v>160.684327</x:v>
      </x:c>
      <x:c r="I15" s="5" t="n">
        <x:f>Anchor_Data!I15*Controls!$B$16</x:f>
        <x:v>9393.151648</x:v>
      </x:c>
      <x:c r="J15" s="5" t="n">
        <x:f>Anchor_Data!J15*Controls!$B$17</x:f>
        <x:v>61844.809955</x:v>
      </x:c>
      <x:c r="K15" s="5" t="n">
        <x:f>Anchor_Data!K15*Controls!$B$17</x:f>
        <x:v>28467.417226</x:v>
      </x:c>
      <x:c r="L15" s="5" t="n">
        <x:f>Anchor_Data!L15*Controls!$B$17</x:f>
        <x:v>5527.477866</x:v>
      </x:c>
      <x:c r="M15" s="47" t="n">
        <x:f>Anchor_Data!M15+Controls!$B$18</x:f>
        <x:v>20.368763</x:v>
      </x:c>
      <x:c r="N15" s="47" t="n">
        <x:f>Anchor_Data!N15+Controls!$B$19</x:f>
        <x:v>121.534615</x:v>
      </x:c>
      <x:c r="O15" s="47" t="n">
        <x:f>Anchor_Data!O15+Controls!$B$20</x:f>
        <x:v>18.839167</x:v>
      </x:c>
      <x:c r="P15" s="5" t="n">
        <x:f>Anchor_Data!P15+Controls!$B$21</x:f>
        <x:v>146.088333</x:v>
      </x:c>
      <x:c r="Q15" s="29" t="n">
        <x:f>Anchor_Data!Q15+Controls!$B$22</x:f>
        <x:v>461.515513</x:v>
      </x:c>
      <x:c r="R15" s="29" t="n">
        <x:f>Anchor_Data!R15+Controls!$B$23</x:f>
        <x:v>405.46384</x:v>
      </x:c>
      <x:c r="S15" s="47" t="n">
        <x:f>Anchor_Data!S15*Controls!$B$24</x:f>
        <x:v>167.879092</x:v>
      </x:c>
      <x:c r="T15" s="48" t="n">
        <x:f>MAX(0,MIN(1,Anchor_Data!T15+Controls!$B$25))</x:f>
        <x:v>0.64</x:v>
      </x:c>
      <x:c r="U15" s="48" t="n">
        <x:f>MAX(0,MIN(1,Anchor_Data!U15+Controls!$B$25))</x:f>
        <x:v>0.68</x:v>
      </x:c>
      <x:c r="V15" s="48" t="n">
        <x:f>MAX(0,MIN(1,Anchor_Data!V15+Controls!$B$25))</x:f>
        <x:v>0.7</x:v>
      </x:c>
      <x:c r="W15" s="31" t="n">
        <x:f>MAX(-1,MIN(1,Anchor_Data!W15+Controls!$B$26))</x:f>
        <x:v>0.18</x:v>
      </x:c>
      <x:c r="X15" s="31" t="n">
        <x:f>MAX(0,MIN(1,Anchor_Data!X15+Controls!$B$27))</x:f>
        <x:v>0.6</x:v>
      </x:c>
      <x:c r="Y15" s="31" t="n">
        <x:f>MAX(0,Anchor_Data!Y15+Controls!$B$28)</x:f>
        <x:v>0.38</x:v>
      </x:c>
      <x:c r="Z15" s="31" t="n">
        <x:f>MAX(0,Anchor_Data!Z15+Controls!$B$29)</x:f>
        <x:v>0.01</x:v>
      </x:c>
      <x:c r="AA15" s="31" t="n">
        <x:f>MAX(0,Anchor_Data!AA15+Controls!$B$30)</x:f>
        <x:v>0.1</x:v>
      </x:c>
      <x:c r="AB15" s="31" t="n">
        <x:f>MAX(0,MIN(1,Anchor_Data!AB15+Controls!$B$31))</x:f>
        <x:v>0.12</x:v>
      </x:c>
      <x:c r="AC15" s="31" t="n">
        <x:f>Anchor_Data!AC15+Controls!$B$32</x:f>
        <x:v>0.6</x:v>
      </x:c>
      <x:c r="AD15" s="32" t="n"/>
    </x:row>
    <x:row r="16">
      <x:c r="A16" s="46" t="n">
        <x:f>Anchor_Data!A16</x:f>
        <x:v>46357</x:v>
      </x:c>
      <x:c r="B16" s="47" t="n">
        <x:f>Anchor_Data!B16*Controls!$B$14</x:f>
        <x:v>256.128261</x:v>
      </x:c>
      <x:c r="C16" s="47" t="n">
        <x:f>Anchor_Data!C16*Controls!$B$14</x:f>
        <x:v>269.23413</x:v>
      </x:c>
      <x:c r="D16" s="47" t="n">
        <x:f>Anchor_Data!D16*Controls!$B$14</x:f>
        <x:v>236.633986</x:v>
      </x:c>
      <x:c r="E16" s="5" t="n">
        <x:f>Anchor_Data!E16*Controls!$B$15</x:f>
        <x:v>1285</x:v>
      </x:c>
      <x:c r="F16" s="5" t="n">
        <x:f>Anchor_Data!F16*Controls!$B$16</x:f>
        <x:v>7300.284129</x:v>
      </x:c>
      <x:c r="G16" s="5" t="n">
        <x:f>Anchor_Data!G16*Controls!$B$16</x:f>
        <x:v>28387.933234</x:v>
      </x:c>
      <x:c r="H16" s="5" t="n">
        <x:f>Anchor_Data!H16*Controls!$B$16</x:f>
        <x:v>163.384904</x:v>
      </x:c>
      <x:c r="I16" s="5" t="n">
        <x:f>Anchor_Data!I16*Controls!$B$16</x:f>
        <x:v>9601.888352</x:v>
      </x:c>
      <x:c r="J16" s="5" t="n">
        <x:f>Anchor_Data!J16*Controls!$B$17</x:f>
        <x:v>62748.253394</x:v>
      </x:c>
      <x:c r="K16" s="5" t="n">
        <x:f>Anchor_Data!K16*Controls!$B$17</x:f>
        <x:v>28895.039373</x:v>
      </x:c>
      <x:c r="L16" s="5" t="n">
        <x:f>Anchor_Data!L16*Controls!$B$17</x:f>
        <x:v>5615.21561</x:v>
      </x:c>
      <x:c r="M16" s="47" t="n">
        <x:f>Anchor_Data!M16+Controls!$B$18</x:f>
        <x:v>19.694301</x:v>
      </x:c>
      <x:c r="N16" s="47" t="n">
        <x:f>Anchor_Data!N16+Controls!$B$19</x:f>
        <x:v>117.483462</x:v>
      </x:c>
      <x:c r="O16" s="47" t="n">
        <x:f>Anchor_Data!O16+Controls!$B$20</x:f>
        <x:v>17.820833</x:v>
      </x:c>
      <x:c r="P16" s="5" t="n">
        <x:f>Anchor_Data!P16+Controls!$B$21</x:f>
        <x:v>145.029722</x:v>
      </x:c>
      <x:c r="Q16" s="29" t="n">
        <x:f>Anchor_Data!Q16+Controls!$B$22</x:f>
        <x:v>464.558473</x:v>
      </x:c>
      <x:c r="R16" s="29" t="n">
        <x:f>Anchor_Data!R16+Controls!$B$23</x:f>
        <x:v>408.299252</x:v>
      </x:c>
      <x:c r="S16" s="47" t="n">
        <x:f>Anchor_Data!S16*Controls!$B$24</x:f>
        <x:v>169.195791</x:v>
      </x:c>
      <x:c r="T16" s="48" t="n">
        <x:f>MAX(0,MIN(1,Anchor_Data!T16+Controls!$B$25))</x:f>
        <x:v>0.66</x:v>
      </x:c>
      <x:c r="U16" s="48" t="n">
        <x:f>MAX(0,MIN(1,Anchor_Data!U16+Controls!$B$25))</x:f>
        <x:v>0.7</x:v>
      </x:c>
      <x:c r="V16" s="48" t="n">
        <x:f>MAX(0,MIN(1,Anchor_Data!V16+Controls!$B$25))</x:f>
        <x:v>0.72</x:v>
      </x:c>
      <x:c r="W16" s="31" t="n">
        <x:f>MAX(-1,MIN(1,Anchor_Data!W16+Controls!$B$26))</x:f>
        <x:v>0.22</x:v>
      </x:c>
      <x:c r="X16" s="31" t="n">
        <x:f>MAX(0,MIN(1,Anchor_Data!X16+Controls!$B$27))</x:f>
        <x:v>0.63</x:v>
      </x:c>
      <x:c r="Y16" s="31" t="n">
        <x:f>MAX(0,Anchor_Data!Y16+Controls!$B$28)</x:f>
        <x:v>0.36</x:v>
      </x:c>
      <x:c r="Z16" s="31" t="n">
        <x:f>MAX(0,Anchor_Data!Z16+Controls!$B$29)</x:f>
        <x:v>0.01</x:v>
      </x:c>
      <x:c r="AA16" s="31" t="n">
        <x:f>MAX(0,Anchor_Data!AA16+Controls!$B$30)</x:f>
        <x:v>0.09</x:v>
      </x:c>
      <x:c r="AB16" s="31" t="n">
        <x:f>MAX(0,MIN(1,Anchor_Data!AB16+Controls!$B$31))</x:f>
        <x:v>0.16</x:v>
      </x:c>
      <x:c r="AC16" s="31" t="n">
        <x:f>Anchor_Data!AC16+Controls!$B$32</x:f>
        <x:v>0.62</x:v>
      </x:c>
      <x:c r="AD16" s="32" t="n"/>
    </x:row>
  </x:sheetData>
  <x:mergeCells>
    <x:mergeCell ref="A1:AC1"/>
  </x:mergeCells>
  <x:pageMargins left="0.7" right="0.7" top="0.75" bottom="0.75" header="0.3" footer="0.3"/>
  <x:legacyDrawing xmlns:r="http://schemas.openxmlformats.org/officeDocument/2006/relationships" r:id="R6f96acf7c694482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1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2" customWidth="1"/>
    <x:col min="12" max="12" width="28" customWidth="1"/>
  </x:cols>
  <x:sheetData>
    <x:row r="1">
      <x:c r="A1" s="1" t="inlineStr">
        <x:is>
          <x:t xml:space="preserve">Derived State: Beta &amp; Leadership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NVDA_Return</x:t>
        </x:is>
      </x:c>
      <x:c r="C3" s="15" t="inlineStr">
        <x:is>
          <x:t xml:space="preserve">ES_Return</x:t>
        </x:is>
      </x:c>
      <x:c r="D3" s="15" t="inlineStr">
        <x:is>
          <x:t xml:space="preserve">NQ_Return</x:t>
        </x:is>
      </x:c>
      <x:c r="E3" s="15" t="inlineStr">
        <x:is>
          <x:t xml:space="preserve">NVDA_vs_ES_Residual</x:t>
        </x:is>
      </x:c>
      <x:c r="F3" s="15" t="inlineStr">
        <x:is>
          <x:t xml:space="preserve">NVDA_vs_NQ_Residual</x:t>
        </x:is>
      </x:c>
      <x:c r="G3" s="15" t="inlineStr">
        <x:is>
          <x:t xml:space="preserve">NQ_vs_ES_Leadership</x:t>
        </x:is>
      </x:c>
      <x:c r="H3" s="15" t="inlineStr">
        <x:is>
          <x:t xml:space="preserve">SOX_vs_NQ_Leadership</x:t>
        </x:is>
      </x:c>
      <x:c r="I3" s="15" t="inlineStr">
        <x:is>
          <x:t xml:space="preserve">Tech_vs_ES_Leadership</x:t>
        </x:is>
      </x:c>
      <x:c r="J3" s="15" t="inlineStr">
        <x:is>
          <x:t xml:space="preserve">Breadth_Confirmation</x:t>
        </x:is>
      </x:c>
      <x:c r="K3" s="15" t="inlineStr">
        <x:is>
          <x:t xml:space="preserve">Beta_State_Score</x:t>
        </x:is>
      </x:c>
      <x:c r="L3" s="15" t="inlineStr">
        <x:is>
          <x:t xml:space="preserve">Comment</x:t>
        </x:is>
      </x:c>
    </x:row>
    <x:row r="4">
      <x:c r="A4" s="49" t="n">
        <x:f>Synthetic_Raw!A5</x:f>
        <x:v>46023</x:v>
      </x:c>
      <x:c r="B4" s="50" t="inlineStr">
        <x:is>
          <x:t xml:space="preserve"/>
        </x:is>
      </x:c>
      <x:c r="C4" s="50" t="inlineStr">
        <x:is>
          <x:t xml:space="preserve"/>
        </x:is>
      </x:c>
      <x:c r="D4" s="50" t="inlineStr">
        <x:is>
          <x:t xml:space="preserve"/>
        </x:is>
      </x:c>
      <x:c r="E4" s="50" t="inlineStr">
        <x:is>
          <x:t xml:space="preserve"/>
        </x:is>
      </x:c>
      <x:c r="F4" s="50" t="inlineStr">
        <x:is>
          <x:t xml:space="preserve"/>
        </x:is>
      </x:c>
      <x:c r="G4" s="50" t="inlineStr">
        <x:is>
          <x:t xml:space="preserve"/>
        </x:is>
      </x:c>
      <x:c r="H4" s="50" t="inlineStr">
        <x:is>
          <x:t xml:space="preserve"/>
        </x:is>
      </x:c>
      <x:c r="I4" s="50" t="inlineStr">
        <x:is>
          <x:t xml:space="preserve"/>
        </x:is>
      </x:c>
      <x:c r="J4" s="50" t="inlineStr">
        <x:is>
          <x:t xml:space="preserve"/>
        </x:is>
      </x:c>
      <x:c r="K4" s="51" t="inlineStr">
        <x:is>
          <x:t xml:space="preserve"/>
        </x:is>
      </x:c>
    </x:row>
    <x:row r="5">
      <x:c r="A5" s="46" t="n">
        <x:f>Synthetic_Raw!A6</x:f>
        <x:v>46054</x:v>
      </x:c>
      <x:c r="B5" s="48" t="n">
        <x:f>(Synthetic_Raw!B6/Synthetic_Raw!B5)-1</x:f>
        <x:v>0.035714283632659605</x:v>
      </x:c>
      <x:c r="C5" s="48" t="n">
        <x:f>(Synthetic_Raw!F6/Synthetic_Raw!F5)-1</x:f>
        <x:v>0.012499999978889287</x:v>
      </x:c>
      <x:c r="D5" s="48" t="n">
        <x:f>(Synthetic_Raw!G6/Synthetic_Raw!G5)-1</x:f>
        <x:v>0.020833333345552374</x:v>
      </x:c>
      <x:c r="E5" s="48" t="n">
        <x:f>B5-C5</x:f>
        <x:v>0.023214283653770318</x:v>
      </x:c>
      <x:c r="F5" s="48" t="n">
        <x:f>B5-D5</x:f>
        <x:v>0.01488095028710723</x:v>
      </x:c>
      <x:c r="G5" s="48" t="n">
        <x:f>D5-C5</x:f>
        <x:v>0.008333333366663087</x:v>
      </x:c>
      <x:c r="H5" s="48" t="n">
        <x:f>((Synthetic_Raw!I6/Synthetic_Raw!I5)-1)-D5</x:f>
        <x:v>-0.0034420288966592327</x:v>
      </x:c>
      <x:c r="I5" s="48" t="n">
        <x:f>((Synthetic_Raw!H6/Synthetic_Raw!H5)-1)-C5</x:f>
        <x:v>-0.0029761866262181247</x:v>
      </x:c>
      <x:c r="J5" s="48" t="n">
        <x:f>AVERAGE(Synthetic_Raw!T6:Synthetic_Raw!V6)</x:f>
        <x:v>0.5766666666666667</x:v>
      </x:c>
      <x:c r="K5" s="52" t="n">
        <x:f>0.35*F5+0.25*G5+0.20*H5+0.20*(J5-0.5)</x:f>
        <x:v>0.021936593496154788</x:v>
      </x:c>
      <x:c r="L5" s="5" t="str">
        <x:f>IF(K5&gt;0.03,"Positive beta / leadership state",IF(K5&lt;-0.03,"Weak beta / leadership state","Mixed beta state"))</x:f>
        <x:v>Mixed beta state</x:v>
      </x:c>
    </x:row>
    <x:row r="6">
      <x:c r="A6" s="46" t="n">
        <x:f>Synthetic_Raw!A7</x:f>
        <x:v>46082</x:v>
      </x:c>
      <x:c r="B6" s="48" t="n">
        <x:f>(Synthetic_Raw!B7/Synthetic_Raw!B6)-1</x:f>
        <x:v>-0.04827586037540266</x:v>
      </x:c>
      <x:c r="C6" s="48" t="n">
        <x:f>(Synthetic_Raw!F7/Synthetic_Raw!F6)-1</x:f>
        <x:v>-0.01337448562494492</x:v>
      </x:c>
      <x:c r="D6" s="48" t="n">
        <x:f>(Synthetic_Raw!G7/Synthetic_Raw!G6)-1</x:f>
        <x:v>-0.019241982501928323</x:v>
      </x:c>
      <x:c r="E6" s="48" t="n">
        <x:f>B6-C6</x:f>
        <x:v>-0.034901374750457737</x:v>
      </x:c>
      <x:c r="F6" s="48" t="n">
        <x:f>B6-D6</x:f>
        <x:v>-0.029033877873474334</x:v>
      </x:c>
      <x:c r="G6" s="48" t="n">
        <x:f>D6-C6</x:f>
        <x:v>-0.005867496876983402</x:v>
      </x:c>
      <x:c r="H6" s="48" t="n">
        <x:f>((Synthetic_Raw!I7/Synthetic_Raw!I6)-1)-D6</x:f>
        <x:v>-0.008535795327032414</x:v>
      </x:c>
      <x:c r="I6" s="48" t="n">
        <x:f>((Synthetic_Raw!H7/Synthetic_Raw!H6)-1)-C6</x:f>
        <x:v>-0.005493439430649505</x:v>
      </x:c>
      <x:c r="J6" s="48" t="n">
        <x:f>AVERAGE(Synthetic_Raw!T7:Synthetic_Raw!V7)</x:f>
        <x:v>0.42</x:v>
      </x:c>
      <x:c r="K6" s="52" t="n">
        <x:f>0.35*F6+0.25*G6+0.20*H6+0.20*(J6-0.5)</x:f>
        <x:v>-0.029335890540368354</x:v>
      </x:c>
      <x:c r="L6" s="5" t="str">
        <x:f>IF(K6&gt;0.03,"Positive beta / leadership state",IF(K6&lt;-0.03,"Weak beta / leadership state","Mixed beta state"))</x:f>
        <x:v>Mixed beta state</x:v>
      </x:c>
    </x:row>
    <x:row r="7">
      <x:c r="A7" s="46" t="n">
        <x:f>Synthetic_Raw!A8</x:f>
        <x:v>46113</x:v>
      </x:c>
      <x:c r="B7" s="48" t="n">
        <x:f>(Synthetic_Raw!B8/Synthetic_Raw!B7)-1</x:f>
        <x:v>0.07246376928452403</x:v>
      </x:c>
      <x:c r="C7" s="48" t="n">
        <x:f>(Synthetic_Raw!F8/Synthetic_Raw!F7)-1</x:f>
        <x:v>0.02398331601726289</x:v>
      </x:c>
      <x:c r="D7" s="48" t="n">
        <x:f>(Synthetic_Raw!G8/Synthetic_Raw!G7)-1</x:f>
        <x:v>0.0428061831145925</x:v>
      </x:c>
      <x:c r="E7" s="48" t="n">
        <x:f>B7-C7</x:f>
        <x:v>0.04848045326726114</x:v>
      </x:c>
      <x:c r="F7" s="48" t="n">
        <x:f>B7-D7</x:f>
        <x:v>0.029657586169931527</x:v>
      </x:c>
      <x:c r="G7" s="48" t="n">
        <x:f>D7-C7</x:f>
        <x:v>0.01882286709732961</x:v>
      </x:c>
      <x:c r="H7" s="48" t="n">
        <x:f>((Synthetic_Raw!I8/Synthetic_Raw!I7)-1)-D7</x:f>
        <x:v>0.009941069684032744</x:v>
      </x:c>
      <x:c r="I7" s="48" t="n">
        <x:f>((Synthetic_Raw!H8/Synthetic_Raw!H7)-1)-C7</x:f>
        <x:v>0.014478223539811763</x:v>
      </x:c>
      <x:c r="J7" s="48" t="n">
        <x:f>AVERAGE(Synthetic_Raw!T8:Synthetic_Raw!V8)</x:f>
        <x:v>0.6</x:v>
      </x:c>
      <x:c r="K7" s="52" t="n">
        <x:f>0.35*F7+0.25*G7+0.20*H7+0.20*(J7-0.5)</x:f>
        <x:v>0.03707408587061498</x:v>
      </x:c>
      <x:c r="L7" s="5" t="str">
        <x:f>IF(K7&gt;0.03,"Positive beta / leadership state",IF(K7&lt;-0.03,"Weak beta / leadership state","Mixed beta state"))</x:f>
        <x:v>Positive beta / leadership state</x:v>
      </x:c>
    </x:row>
    <x:row r="8">
      <x:c r="A8" s="46" t="n">
        <x:f>Synthetic_Raw!A9</x:f>
        <x:v>46143</x:v>
      </x:c>
      <x:c r="B8" s="48" t="n">
        <x:f>(Synthetic_Raw!B9/Synthetic_Raw!B8)-1</x:f>
        <x:v>0.04054054115014072</x:v>
      </x:c>
      <x:c r="C8" s="48" t="n">
        <x:f>(Synthetic_Raw!F9/Synthetic_Raw!F8)-1</x:f>
        <x:v>0.019348268706129046</x:v>
      </x:c>
      <x:c r="D8" s="48" t="n">
        <x:f>(Synthetic_Raw!G9/Synthetic_Raw!G8)-1</x:f>
        <x:v>0.02679589508811353</x:v>
      </x:c>
      <x:c r="E8" s="48" t="n">
        <x:f>B8-C8</x:f>
        <x:v>0.021192272444011673</x:v>
      </x:c>
      <x:c r="F8" s="48" t="n">
        <x:f>B8-D8</x:f>
        <x:v>0.013744646062027188</x:v>
      </x:c>
      <x:c r="G8" s="48" t="n">
        <x:f>D8-C8</x:f>
        <x:v>0.007447626381984485</x:v>
      </x:c>
      <x:c r="H8" s="48" t="n">
        <x:f>((Synthetic_Raw!I9/Synthetic_Raw!I8)-1)-D8</x:f>
        <x:v>-0.005919068456478049</x:v>
      </x:c>
      <x:c r="I8" s="48" t="n">
        <x:f>((Synthetic_Raw!H9/Synthetic_Raw!H8)-1)-C8</x:f>
        <x:v>-0.000829749679666314</x:v>
      </x:c>
      <x:c r="J8" s="48" t="n">
        <x:f>AVERAGE(Synthetic_Raw!T9:Synthetic_Raw!V9)</x:f>
        <x:v>0.6266666666666666</x:v>
      </x:c>
      <x:c r="K8" s="52" t="n">
        <x:f>0.35*F8+0.25*G8+0.20*H8+0.20*(J8-0.5)</x:f>
        <x:v>0.030822052359243346</x:v>
      </x:c>
      <x:c r="L8" s="5" t="str">
        <x:f>IF(K8&gt;0.03,"Positive beta / leadership state",IF(K8&lt;-0.03,"Weak beta / leadership state","Mixed beta state"))</x:f>
        <x:v>Positive beta / leadership state</x:v>
      </x:c>
    </x:row>
    <x:row r="9">
      <x:c r="A9" s="46" t="n">
        <x:f>Synthetic_Raw!A10</x:f>
        <x:v>46174</x:v>
      </x:c>
      <x:c r="B9" s="48" t="n">
        <x:f>(Synthetic_Raw!B10/Synthetic_Raw!B9)-1</x:f>
        <x:v>0.03896103952406338</x:v>
      </x:c>
      <x:c r="C9" s="48" t="n">
        <x:f>(Synthetic_Raw!F10/Synthetic_Raw!F9)-1</x:f>
        <x:v>0.013986014062210339</x:v>
      </x:c>
      <x:c r="D9" s="48" t="n">
        <x:f>(Synthetic_Raw!G10/Synthetic_Raw!G9)-1</x:f>
        <x:v>0.01943364798458802</x:v>
      </x:c>
      <x:c r="E9" s="48" t="n">
        <x:f>B9-C9</x:f>
        <x:v>0.02497502546185304</x:v>
      </x:c>
      <x:c r="F9" s="48" t="n">
        <x:f>B9-D9</x:f>
        <x:v>0.01952739153947536</x:v>
      </x:c>
      <x:c r="G9" s="48" t="n">
        <x:f>D9-C9</x:f>
        <x:v>0.0054476339223776815</x:v>
      </x:c>
      <x:c r="H9" s="48" t="n">
        <x:f>((Synthetic_Raw!I10/Synthetic_Raw!I9)-1)-D9</x:f>
        <x:v>-0.001028739946379087</x:v>
      </x:c>
      <x:c r="I9" s="48" t="n">
        <x:f>((Synthetic_Raw!H10/Synthetic_Raw!H9)-1)-C9</x:f>
        <x:v>0.004195804609248954</x:v>
      </x:c>
      <x:c r="J9" s="48" t="n">
        <x:f>AVERAGE(Synthetic_Raw!T10:Synthetic_Raw!V10)</x:f>
        <x:v>0.6366666666666667</x:v>
      </x:c>
      <x:c r="K9" s="52" t="n">
        <x:f>0.35*F9+0.25*G9+0.20*H9+0.20*(J9-0.5)</x:f>
        <x:v>0.035324080863468325</x:v>
      </x:c>
      <x:c r="L9" s="5" t="str">
        <x:f>IF(K9&gt;0.03,"Positive beta / leadership state",IF(K9&lt;-0.03,"Weak beta / leadership state","Mixed beta state"))</x:f>
        <x:v>Positive beta / leadership state</x:v>
      </x:c>
    </x:row>
    <x:row r="10">
      <x:c r="A10" s="46" t="n">
        <x:f>Synthetic_Raw!A11</x:f>
        <x:v>46204</x:v>
      </x:c>
      <x:c r="B10" s="48" t="n">
        <x:f>(Synthetic_Raw!B11/Synthetic_Raw!B10)-1</x:f>
        <x:v>0.03749999588524022</x:v>
      </x:c>
      <x:c r="C10" s="48" t="n">
        <x:f>(Synthetic_Raw!F11/Synthetic_Raw!F10)-1</x:f>
        <x:v>0.014778325098831369</x:v>
      </x:c>
      <x:c r="D10" s="48" t="n">
        <x:f>(Synthetic_Raw!G11/Synthetic_Raw!G10)-1</x:f>
        <x:v>0.022875816983441988</x:v>
      </x:c>
      <x:c r="E10" s="48" t="n">
        <x:f>B10-C10</x:f>
        <x:v>0.022721670786408854</x:v>
      </x:c>
      <x:c r="F10" s="48" t="n">
        <x:f>B10-D10</x:f>
        <x:v>0.014624178901798235</x:v>
      </x:c>
      <x:c r="G10" s="48" t="n">
        <x:f>D10-C10</x:f>
        <x:v>0.00809749188461062</x:v>
      </x:c>
      <x:c r="H10" s="48" t="n">
        <x:f>((Synthetic_Raw!I11/Synthetic_Raw!I10)-1)-D10</x:f>
        <x:v>0.005236632832908317</x:v>
      </x:c>
      <x:c r="I10" s="48" t="n">
        <x:f>((Synthetic_Raw!H11/Synthetic_Raw!H10)-1)-C10</x:f>
        <x:v>0.003078818230621838</x:v>
      </x:c>
      <x:c r="J10" s="48" t="n">
        <x:f>AVERAGE(Synthetic_Raw!T11:Synthetic_Raw!V11)</x:f>
        <x:v>0.6633333333333333</x:v>
      </x:c>
      <x:c r="K10" s="52" t="n">
        <x:f>0.35*F10+0.25*G10+0.20*H10+0.20*(J10-0.5)</x:f>
        <x:v>0.04085682882003037</x:v>
      </x:c>
      <x:c r="L10" s="5" t="str">
        <x:f>IF(K10&gt;0.03,"Positive beta / leadership state",IF(K10&lt;-0.03,"Weak beta / leadership state","Mixed beta state"))</x:f>
        <x:v>Positive beta / leadership state</x:v>
      </x:c>
    </x:row>
    <x:row r="11">
      <x:c r="A11" s="46" t="n">
        <x:f>Synthetic_Raw!A12</x:f>
        <x:v>46235</x:v>
      </x:c>
      <x:c r="B11" s="48" t="n">
        <x:f>(Synthetic_Raw!B12/Synthetic_Raw!B11)-1</x:f>
        <x:v>0.03012048470050188</x:v>
      </x:c>
      <x:c r="C11" s="48" t="n">
        <x:f>(Synthetic_Raw!F12/Synthetic_Raw!F11)-1</x:f>
        <x:v>0.008737864063498968</x:v>
      </x:c>
      <x:c r="D11" s="48" t="n">
        <x:f>(Synthetic_Raw!G12/Synthetic_Raw!G11)-1</x:f>
        <x:v>0.013844515457445361</x:v>
      </x:c>
      <x:c r="E11" s="48" t="n">
        <x:f>B11-C11</x:f>
        <x:v>0.021382620637002914</x:v>
      </x:c>
      <x:c r="F11" s="48" t="n">
        <x:f>B11-D11</x:f>
        <x:v>0.01627596924305652</x:v>
      </x:c>
      <x:c r="G11" s="48" t="n">
        <x:f>D11-C11</x:f>
        <x:v>0.005106651393946393</x:v>
      </x:c>
      <x:c r="H11" s="48" t="n">
        <x:f>((Synthetic_Raw!I12/Synthetic_Raw!I11)-1)-D11</x:f>
        <x:v>0.0037336094888258398</x:v>
      </x:c>
      <x:c r="I11" s="48" t="n">
        <x:f>((Synthetic_Raw!H12/Synthetic_Raw!H11)-1)-C11</x:f>
        <x:v>0.004420026143002298</x:v>
      </x:c>
      <x:c r="J11" s="48" t="n">
        <x:f>AVERAGE(Synthetic_Raw!T12:Synthetic_Raw!V12)</x:f>
        <x:v>0.6733333333333333</x:v>
      </x:c>
      <x:c r="K11" s="52" t="n">
        <x:f>0.35*F11+0.25*G11+0.20*H11+0.20*(J11-0.5)</x:f>
        <x:v>0.04238664064798822</x:v>
      </x:c>
      <x:c r="L11" s="5" t="str">
        <x:f>IF(K11&gt;0.03,"Positive beta / leadership state",IF(K11&lt;-0.03,"Weak beta / leadership state","Mixed beta state"))</x:f>
        <x:v>Positive beta / leadership state</x:v>
      </x:c>
    </x:row>
    <x:row r="12">
      <x:c r="A12" s="46" t="n">
        <x:f>Synthetic_Raw!A13</x:f>
        <x:v>46266</x:v>
      </x:c>
      <x:c r="B12" s="48" t="n">
        <x:f>(Synthetic_Raw!B13/Synthetic_Raw!B12)-1</x:f>
        <x:v>-0.017543862084549722</x:v>
      </x:c>
      <x:c r="C12" s="48" t="n">
        <x:f>(Synthetic_Raw!F13/Synthetic_Raw!F12)-1</x:f>
        <x:v>-0.010587102919330516</x:v>
      </x:c>
      <x:c r="D12" s="48" t="n">
        <x:f>(Synthetic_Raw!G13/Synthetic_Raw!G12)-1</x:f>
        <x:v>-0.016806722713305078</x:v>
      </x:c>
      <x:c r="E12" s="48" t="n">
        <x:f>B12-C12</x:f>
        <x:v>-0.006956759165219206</x:v>
      </x:c>
      <x:c r="F12" s="48" t="n">
        <x:f>B12-D12</x:f>
        <x:v>-0.0007371393712446439</x:v>
      </x:c>
      <x:c r="G12" s="48" t="n">
        <x:f>D12-C12</x:f>
        <x:v>-0.006219619793974562</x:v>
      </x:c>
      <x:c r="H12" s="48" t="n">
        <x:f>((Synthetic_Raw!I13/Synthetic_Raw!I12)-1)-D12</x:f>
        <x:v>0.007209793771666861</x:v>
      </x:c>
      <x:c r="I12" s="48" t="n">
        <x:f>((Synthetic_Raw!H13/Synthetic_Raw!H12)-1)-C12</x:f>
        <x:v>0.0019290972036108966</x:v>
      </x:c>
      <x:c r="J12" s="48" t="n">
        <x:f>AVERAGE(Synthetic_Raw!T13:Synthetic_Raw!V13)</x:f>
        <x:v>0.5233333333333333</x:v>
      </x:c>
      <x:c r="K12" s="52" t="n">
        <x:f>0.35*F12+0.25*G12+0.20*H12+0.20*(J12-0.5)</x:f>
        <x:v>0.0042957216925707704</x:v>
      </x:c>
      <x:c r="L12" s="5" t="str">
        <x:f>IF(K12&gt;0.03,"Positive beta / leadership state",IF(K12&lt;-0.03,"Weak beta / leadership state","Mixed beta state"))</x:f>
        <x:v>Mixed beta state</x:v>
      </x:c>
    </x:row>
    <x:row r="13">
      <x:c r="A13" s="46" t="n">
        <x:f>Synthetic_Raw!A14</x:f>
        <x:v>46296</x:v>
      </x:c>
      <x:c r="B13" s="48" t="n">
        <x:f>(Synthetic_Raw!B14/Synthetic_Raw!B13)-1</x:f>
        <x:v>0.04761904846010867</x:v>
      </x:c>
      <x:c r="C13" s="48" t="n">
        <x:f>(Synthetic_Raw!F14/Synthetic_Raw!F13)-1</x:f>
        <x:v>0.01945525283795213</x:v>
      </x:c>
      <x:c r="D13" s="48" t="n">
        <x:f>(Synthetic_Raw!G14/Synthetic_Raw!G13)-1</x:f>
        <x:v>0.026709401725067083</x:v>
      </x:c>
      <x:c r="E13" s="48" t="n">
        <x:f>B13-C13</x:f>
        <x:v>0.02816379562215654</x:v>
      </x:c>
      <x:c r="F13" s="48" t="n">
        <x:f>B13-D13</x:f>
        <x:v>0.020909646735041587</x:v>
      </x:c>
      <x:c r="G13" s="48" t="n">
        <x:f>D13-C13</x:f>
        <x:v>0.007254148887114953</x:v>
      </x:c>
      <x:c r="H13" s="48" t="n">
        <x:f>((Synthetic_Raw!I14/Synthetic_Raw!I13)-1)-D13</x:f>
        <x:v>-0.0034535878052615043</x:v>
      </x:c>
      <x:c r="I13" s="48" t="n">
        <x:f>((Synthetic_Raw!H14/Synthetic_Raw!H13)-1)-C13</x:f>
        <x:v>0.002378807280620343</x:v>
      </x:c>
      <x:c r="J13" s="48" t="n">
        <x:f>AVERAGE(Synthetic_Raw!T14:Synthetic_Raw!V14)</x:f>
        <x:v>0.6533333333333333</x:v>
      </x:c>
      <x:c r="K13" s="52" t="n">
        <x:f>0.35*F13+0.25*G13+0.20*H13+0.20*(J13-0.5)</x:f>
        <x:v>0.03910786268465766</x:v>
      </x:c>
      <x:c r="L13" s="5" t="str">
        <x:f>IF(K13&gt;0.03,"Positive beta / leadership state",IF(K13&lt;-0.03,"Weak beta / leadership state","Mixed beta state"))</x:f>
        <x:v>Positive beta / leadership state</x:v>
      </x:c>
    </x:row>
    <x:row r="14">
      <x:c r="A14" s="46" t="n">
        <x:f>Synthetic_Raw!A15</x:f>
        <x:v>46327</x:v>
      </x:c>
      <x:c r="B14" s="48" t="n">
        <x:f>(Synthetic_Raw!B15/Synthetic_Raw!B14)-1</x:f>
        <x:v>0.045454546220884184</x:v>
      </x:c>
      <x:c r="C14" s="48" t="n">
        <x:f>(Synthetic_Raw!F15/Synthetic_Raw!F14)-1</x:f>
        <x:v>0.013358778698421947</x:v>
      </x:c>
      <x:c r="D14" s="48" t="n">
        <x:f>(Synthetic_Raw!G15/Synthetic_Raw!G14)-1</x:f>
        <x:v>0.021852237243373374</x:v>
      </x:c>
      <x:c r="E14" s="48" t="n">
        <x:f>B14-C14</x:f>
        <x:v>0.03209576752246224</x:v>
      </x:c>
      <x:c r="F14" s="48" t="n">
        <x:f>B14-D14</x:f>
        <x:v>0.02360230897751081</x:v>
      </x:c>
      <x:c r="G14" s="48" t="n">
        <x:f>D14-C14</x:f>
        <x:v>0.008493458544951427</x:v>
      </x:c>
      <x:c r="H14" s="48" t="n">
        <x:f>((Synthetic_Raw!I15/Synthetic_Raw!I14)-1)-D14</x:f>
        <x:v>0.0008750354517301773</x:v>
      </x:c>
      <x:c r="I14" s="48" t="n">
        <x:f>((Synthetic_Raw!H15/Synthetic_Raw!H14)-1)-C14</x:f>
        <x:v>0.003735238882500269</x:v>
      </x:c>
      <x:c r="J14" s="48" t="n">
        <x:f>AVERAGE(Synthetic_Raw!T15:Synthetic_Raw!V15)</x:f>
        <x:v>0.6733333333333333</x:v>
      </x:c>
      <x:c r="K14" s="52" t="n">
        <x:f>0.35*F14+0.25*G14+0.20*H14+0.20*(J14-0.5)</x:f>
        <x:v>0.045225846535379345</x:v>
      </x:c>
      <x:c r="L14" s="5" t="str">
        <x:f>IF(K14&gt;0.03,"Positive beta / leadership state",IF(K14&lt;-0.03,"Weak beta / leadership state","Mixed beta state"))</x:f>
        <x:v>Positive beta / leadership state</x:v>
      </x:c>
    </x:row>
    <x:row r="15">
      <x:c r="A15" s="46" t="n">
        <x:f>Synthetic_Raw!A16</x:f>
        <x:v>46357</x:v>
      </x:c>
      <x:c r="B15" s="48" t="n">
        <x:f>(Synthetic_Raw!B16/Synthetic_Raw!B15)-1</x:f>
        <x:v>0.032608696178035856</x:v>
      </x:c>
      <x:c r="C15" s="48" t="n">
        <x:f>(Synthetic_Raw!F16/Synthetic_Raw!F15)-1</x:f>
        <x:v>0.013182674131406058</x:v>
      </x:c>
      <x:c r="D15" s="48" t="n">
        <x:f>(Synthetic_Raw!G16/Synthetic_Raw!G15)-1</x:f>
        <x:v>0.017311608964186487</x:v>
      </x:c>
      <x:c r="E15" s="48" t="n">
        <x:f>B15-C15</x:f>
        <x:v>0.0194260220466298</x:v>
      </x:c>
      <x:c r="F15" s="48" t="n">
        <x:f>B15-D15</x:f>
        <x:v>0.01529708721384937</x:v>
      </x:c>
      <x:c r="G15" s="48" t="n">
        <x:f>D15-C15</x:f>
        <x:v>0.004128934832780429</x:v>
      </x:c>
      <x:c r="H15" s="48" t="n">
        <x:f>((Synthetic_Raw!I16/Synthetic_Raw!I15)-1)-D15</x:f>
        <x:v>0.004910613333741098</x:v>
      </x:c>
      <x:c r="I15" s="48" t="n">
        <x:f>((Synthetic_Raw!H16/Synthetic_Raw!H15)-1)-C15</x:f>
        <x:v>0.003624049028345677</x:v>
      </x:c>
      <x:c r="J15" s="48" t="n">
        <x:f>AVERAGE(Synthetic_Raw!T16:Synthetic_Raw!V16)</x:f>
        <x:v>0.6933333333333334</x:v>
      </x:c>
      <x:c r="K15" s="52" t="n">
        <x:f>0.35*F15+0.25*G15+0.20*H15+0.20*(J15-0.5)</x:f>
        <x:v>0.04603500356645728</x:v>
      </x:c>
      <x:c r="L15" s="5" t="str">
        <x:f>IF(K15&gt;0.03,"Positive beta / leadership state",IF(K15&lt;-0.03,"Weak beta / leadership state","Mixed beta state"))</x:f>
        <x:v>Positive beta / leadership state</x:v>
      </x:c>
    </x:row>
  </x:sheetData>
  <x:mergeCells>
    <x:mergeCell ref="A1:L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5" customWidth="1"/>
    <x:col min="5" max="5" width="10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24" customWidth="1"/>
  </x:cols>
  <x:sheetData>
    <x:row r="1">
      <x:c r="A1" s="1" t="inlineStr">
        <x:is>
          <x:t xml:space="preserve">Derived State: Vol / Rates / FX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VIX9D_vs_VIX</x:t>
        </x:is>
      </x:c>
      <x:c r="C3" s="15" t="inlineStr">
        <x:is>
          <x:t xml:space="preserve">VVIX_vs_VIX</x:t>
        </x:is>
      </x:c>
      <x:c r="D3" s="15" t="inlineStr">
        <x:is>
          <x:t xml:space="preserve">Rate_Slope_10s2s_bp</x:t>
        </x:is>
      </x:c>
      <x:c r="E3" s="15" t="inlineStr">
        <x:is>
          <x:t xml:space="preserve">Rate_Shock</x:t>
        </x:is>
      </x:c>
      <x:c r="F3" s="15" t="inlineStr">
        <x:is>
          <x:t xml:space="preserve">USDJPY_Change</x:t>
        </x:is>
      </x:c>
      <x:c r="G3" s="15" t="inlineStr">
        <x:is>
          <x:t xml:space="preserve">Vol_Stress_Score</x:t>
        </x:is>
      </x:c>
      <x:c r="H3" s="15" t="inlineStr">
        <x:is>
          <x:t xml:space="preserve">Tail_Risk_Score</x:t>
        </x:is>
      </x:c>
      <x:c r="I3" s="15" t="inlineStr">
        <x:is>
          <x:t xml:space="preserve">Cross_Asset_Pressure</x:t>
        </x:is>
      </x:c>
      <x:c r="J3" s="15" t="inlineStr">
        <x:is>
          <x:t xml:space="preserve">Macro_Veto_Flag</x:t>
        </x:is>
      </x:c>
      <x:c r="K3" s="15" t="inlineStr">
        <x:is>
          <x:t xml:space="preserve">Comment</x:t>
        </x:is>
      </x:c>
    </x:row>
    <x:row r="4">
      <x:c r="A4" s="49" t="n">
        <x:f>Synthetic_Raw!A5</x:f>
        <x:v>46023</x:v>
      </x:c>
      <x:c r="B4" s="53" t="inlineStr">
        <x:is>
          <x:t xml:space="preserve"/>
        </x:is>
      </x:c>
      <x:c r="C4" s="50" t="inlineStr">
        <x:is>
          <x:t xml:space="preserve"/>
        </x:is>
      </x:c>
      <x:c r="D4" s="38" t="inlineStr">
        <x:is>
          <x:t xml:space="preserve"/>
        </x:is>
      </x:c>
      <x:c r="E4" s="38" t="inlineStr">
        <x:is>
          <x:t xml:space="preserve"/>
        </x:is>
      </x:c>
      <x:c r="F4" s="50" t="inlineStr">
        <x:is>
          <x:t xml:space="preserve"/>
        </x:is>
      </x:c>
      <x:c r="G4" s="32" t="inlineStr">
        <x:is>
          <x:t xml:space="preserve"/>
        </x:is>
      </x:c>
      <x:c r="H4" s="32" t="inlineStr">
        <x:is>
          <x:t xml:space="preserve"/>
        </x:is>
      </x:c>
      <x:c r="I4" s="39" t="inlineStr">
        <x:is>
          <x:t xml:space="preserve"/>
        </x:is>
      </x:c>
    </x:row>
    <x:row r="5">
      <x:c r="A5" s="46" t="n">
        <x:f>Synthetic_Raw!A6</x:f>
        <x:v>46054</x:v>
      </x:c>
      <x:c r="B5" s="47" t="n">
        <x:f>Synthetic_Raw!O6-Synthetic_Raw!M6</x:f>
        <x:v>-2.249663999999999</x:v>
      </x:c>
      <x:c r="C5" s="48" t="n">
        <x:f>(Synthetic_Raw!N6/Synthetic_Raw!M6)-1</x:f>
        <x:v>4.685158425908591</x:v>
      </x:c>
      <x:c r="D5" s="29" t="n">
        <x:f>Synthetic_Raw!Q6-Synthetic_Raw!R6</x:f>
        <x:v>48.51291800000001</x:v>
      </x:c>
      <x:c r="E5" s="29" t="n">
        <x:f>Synthetic_Raw!Q6-Synthetic_Raw!Q5</x:f>
        <x:v>3.042958999999996</x:v>
      </x:c>
      <x:c r="F5" s="48" t="n">
        <x:f>(Synthetic_Raw!S6/Synthetic_Raw!S5)-1</x:f>
        <x:v>0.005471955141336915</x:v>
      </x:c>
      <x:c r="G5" s="31" t="n">
        <x:f>0.4*(B5/10)+0.3*C5+0.3*(Synthetic_Raw!M6/20)</x:f>
        <x:v>1.6433496827725773</x:v>
      </x:c>
      <x:c r="H5" s="31" t="n">
        <x:f>(Synthetic_Raw!P6-135)/20</x:f>
        <x:v>0.6602778</x:v>
      </x:c>
      <x:c r="I5" s="40" t="n">
        <x:f>0.35*G5+0.35*(ABS(E5)/25)+0.30*ABS(F5)</x:f>
        <x:v>0.619415401512803</x:v>
      </x:c>
      <x:c r="J5" s="5" t="str">
        <x:f>IF(OR(G5&gt;0.85,I5&gt;0.75,Synthetic_Raw!AC6=1),"VETO","OK")</x:f>
        <x:v>VETO</x:v>
      </x:c>
      <x:c r="K5" s="5" t="str">
        <x:f>IF(J5="VETO","Macro / vol caution","Normal watch")</x:f>
        <x:v>Macro / vol caution</x:v>
      </x:c>
    </x:row>
    <x:row r="6">
      <x:c r="A6" s="46" t="n">
        <x:f>Synthetic_Raw!A7</x:f>
        <x:v>46082</x:v>
      </x:c>
      <x:c r="B6" s="47" t="n">
        <x:f>Synthetic_Raw!O7-Synthetic_Raw!M7</x:f>
        <x:v>-0.6499999999999986</x:v>
      </x:c>
      <x:c r="C6" s="48" t="n">
        <x:f>(Synthetic_Raw!N7/Synthetic_Raw!M7)-1</x:f>
        <x:v>4.597449182941411</x:v>
      </x:c>
      <x:c r="D6" s="29" t="n">
        <x:f>Synthetic_Raw!Q7-Synthetic_Raw!R7</x:f>
        <x:v>46</x:v>
      </x:c>
      <x:c r="E6" s="29" t="n">
        <x:f>Synthetic_Raw!Q7-Synthetic_Raw!Q6</x:f>
        <x:v>-9.128877999999986</x:v>
      </x:c>
      <x:c r="F6" s="48" t="n">
        <x:f>(Synthetic_Raw!S7/Synthetic_Raw!S6)-1</x:f>
        <x:v>-0.010884351598981712</x:v>
      </x:c>
      <x:c r="G6" s="31" t="n">
        <x:f>0.4*(B6/10)+0.3*C6+0.3*(Synthetic_Raw!M7/20)</x:f>
        <x:v>1.729584754882423</x:v>
      </x:c>
      <x:c r="H6" s="31" t="n">
        <x:f>(Synthetic_Raw!P7-135)/20</x:f>
        <x:v>0.8719999999999999</x:v>
      </x:c>
      <x:c r="I6" s="40" t="n">
        <x:f>0.35*G6+0.35*(ABS(E6)/25)+0.30*ABS(F6)</x:f>
        <x:v>0.7364242616885422</x:v>
      </x:c>
      <x:c r="J6" s="5" t="str">
        <x:f>IF(OR(G6&gt;0.85,I6&gt;0.75,Synthetic_Raw!AC7=1),"VETO","OK")</x:f>
        <x:v>VETO</x:v>
      </x:c>
      <x:c r="K6" s="5" t="str">
        <x:f>IF(J6="VETO","Macro / vol caution","Normal watch")</x:f>
        <x:v>Macro / vol caution</x:v>
      </x:c>
    </x:row>
    <x:row r="7">
      <x:c r="A7" s="46" t="n">
        <x:f>Synthetic_Raw!A8</x:f>
        <x:v>46113</x:v>
      </x:c>
      <x:c r="B7" s="47" t="n">
        <x:f>Synthetic_Raw!O8-Synthetic_Raw!M8</x:f>
        <x:v>-1.6816129999999987</x:v>
      </x:c>
      <x:c r="C7" s="48" t="n">
        <x:f>(Synthetic_Raw!N8/Synthetic_Raw!M8)-1</x:f>
        <x:v>4.678653732127903</x:v>
      </x:c>
      <x:c r="D7" s="29" t="n">
        <x:f>Synthetic_Raw!Q8-Synthetic_Raw!R8</x:f>
        <x:v>49.803968</x:v>
      </x:c>
      <x:c r="E7" s="29" t="n">
        <x:f>Synthetic_Raw!Q8-Synthetic_Raw!Q7</x:f>
        <x:v>14.200476999999978</x:v>
      </x:c>
      <x:c r="F7" s="48" t="n">
        <x:f>(Synthetic_Raw!S8/Synthetic_Raw!S7)-1</x:f>
        <x:v>0.01856946220383593</x:v>
      </x:c>
      <x:c r="G7" s="31" t="n">
        <x:f>0.4*(B7/10)+0.3*C7+0.3*(Synthetic_Raw!M8/20)</x:f>
        <x:v>1.682330794638371</x:v>
      </x:c>
      <x:c r="H7" s="31" t="n">
        <x:f>(Synthetic_Raw!P8-135)/20</x:f>
        <x:v>0.7661389</x:v>
      </x:c>
      <x:c r="I7" s="40" t="n">
        <x:f>0.35*G7+0.35*(ABS(E7)/25)+0.30*ABS(F7)</x:f>
        <x:v>0.7931932947845803</x:v>
      </x:c>
      <x:c r="J7" s="5" t="str">
        <x:f>IF(OR(G7&gt;0.85,I7&gt;0.75,Synthetic_Raw!AC8=1),"VETO","OK")</x:f>
        <x:v>VETO</x:v>
      </x:c>
      <x:c r="K7" s="5" t="str">
        <x:f>IF(J7="VETO","Macro / vol caution","Normal watch")</x:f>
        <x:v>Macro / vol caution</x:v>
      </x:c>
    </x:row>
    <x:row r="8">
      <x:c r="A8" s="46" t="n">
        <x:f>Synthetic_Raw!A9</x:f>
        <x:v>46143</x:v>
      </x:c>
      <x:c r="B8" s="47" t="n">
        <x:f>Synthetic_Raw!O9-Synthetic_Raw!M9</x:f>
        <x:v>-1.8829910000000005</x:v>
      </x:c>
      <x:c r="C8" s="48" t="n">
        <x:f>(Synthetic_Raw!N9/Synthetic_Raw!M9)-1</x:f>
        <x:v>4.798951974666725</x:v>
      </x:c>
      <x:c r="D8" s="29" t="n">
        <x:f>Synthetic_Raw!Q9-Synthetic_Raw!R9</x:f>
        <x:v>51.16420100000005</x:v>
      </x:c>
      <x:c r="E8" s="29" t="n">
        <x:f>Synthetic_Raw!Q9-Synthetic_Raw!Q8</x:f>
        <x:v>6.085919000000047</x:v>
      </x:c>
      <x:c r="F8" s="48" t="n">
        <x:f>(Synthetic_Raw!S9/Synthetic_Raw!S8)-1</x:f>
        <x:v>0.008102634830912114</x:v>
      </x:c>
      <x:c r="G8" s="31" t="n">
        <x:f>0.4*(B8/10)+0.3*C8+0.3*(Synthetic_Raw!M9/20)</x:f>
        <x:v>1.6962014424000174</x:v>
      </x:c>
      <x:c r="H8" s="31" t="n">
        <x:f>(Synthetic_Raw!P9-135)/20</x:f>
        <x:v>0.7132083499999993</x:v>
      </x:c>
      <x:c r="I8" s="40" t="n">
        <x:f>0.35*G8+0.35*(ABS(E8)/25)+0.30*ABS(F8)</x:f>
        <x:v>0.6813041612892803</x:v>
      </x:c>
      <x:c r="J8" s="5" t="str">
        <x:f>IF(OR(G8&gt;0.85,I8&gt;0.75,Synthetic_Raw!AC9=1),"VETO","OK")</x:f>
        <x:v>VETO</x:v>
      </x:c>
      <x:c r="K8" s="5" t="str">
        <x:f>IF(J8="VETO","Macro / vol caution","Normal watch")</x:f>
        <x:v>Macro / vol caution</x:v>
      </x:c>
    </x:row>
    <x:row r="9">
      <x:c r="A9" s="46" t="n">
        <x:f>Synthetic_Raw!A10</x:f>
        <x:v>46174</x:v>
      </x:c>
      <x:c r="B9" s="47" t="n">
        <x:f>Synthetic_Raw!O10-Synthetic_Raw!M10</x:f>
        <x:v>-1.9570760000000007</x:v>
      </x:c>
      <x:c r="C9" s="48" t="n">
        <x:f>(Synthetic_Raw!N10/Synthetic_Raw!M10)-1</x:f>
        <x:v>4.8024513792963095</x:v>
      </x:c>
      <x:c r="D9" s="29" t="n">
        <x:f>Synthetic_Raw!Q10-Synthetic_Raw!R10</x:f>
        <x:v>52.31688700000001</x:v>
      </x:c>
      <x:c r="E9" s="29" t="n">
        <x:f>Synthetic_Raw!Q10-Synthetic_Raw!Q9</x:f>
        <x:v>3.0429599999999937</x:v>
      </x:c>
      <x:c r="F9" s="48" t="n">
        <x:f>(Synthetic_Raw!S10/Synthetic_Raw!S9)-1</x:f>
        <x:v>0.0046885448537981045</x:v>
      </x:c>
      <x:c r="G9" s="31" t="n">
        <x:f>0.4*(B9/10)+0.3*C9+0.3*(Synthetic_Raw!M10/20)</x:f>
        <x:v>1.6801241437888927</x:v>
      </x:c>
      <x:c r="H9" s="31" t="n">
        <x:f>(Synthetic_Raw!P10-135)/20</x:f>
        <x:v>0.6073471999999995</x:v>
      </x:c>
      <x:c r="I9" s="40" t="n">
        <x:f>0.35*G9+0.35*(ABS(E9)/25)+0.30*ABS(F9)</x:f>
        <x:v>0.6320514537822517</x:v>
      </x:c>
      <x:c r="J9" s="5" t="str">
        <x:f>IF(OR(G9&gt;0.85,I9&gt;0.75,Synthetic_Raw!AC10=1),"VETO","OK")</x:f>
        <x:v>VETO</x:v>
      </x:c>
      <x:c r="K9" s="5" t="str">
        <x:f>IF(J9="VETO","Macro / vol caution","Normal watch")</x:f>
        <x:v>Macro / vol caution</x:v>
      </x:c>
    </x:row>
    <x:row r="10">
      <x:c r="A10" s="46" t="n">
        <x:f>Synthetic_Raw!A11</x:f>
        <x:v>46204</x:v>
      </x:c>
      <x:c r="B10" s="47" t="n">
        <x:f>Synthetic_Raw!O11-Synthetic_Raw!M11</x:f>
        <x:v>-2.0463640000000005</x:v>
      </x:c>
      <x:c r="C10" s="48" t="n">
        <x:f>(Synthetic_Raw!N11/Synthetic_Raw!M11)-1</x:f>
        <x:v>4.861600048303581</x:v>
      </x:c>
      <x:c r="D10" s="29" t="n">
        <x:f>Synthetic_Raw!Q11-Synthetic_Raw!R11</x:f>
        <x:v>53.46957200000003</x:v>
      </x:c>
      <x:c r="E10" s="29" t="n">
        <x:f>Synthetic_Raw!Q11-Synthetic_Raw!Q10</x:f>
        <x:v>3.042958999999996</x:v>
      </x:c>
      <x:c r="F10" s="48" t="n">
        <x:f>(Synthetic_Raw!S11/Synthetic_Raw!S10)-1</x:f>
        <x:v>0.00800000145819224</x:v>
      </x:c>
      <x:c r="G10" s="31" t="n">
        <x:f>0.4*(B10/10)+0.3*C10+0.3*(Synthetic_Raw!M11/20)</x:f>
        <x:v>1.6841802944910742</x:v>
      </x:c>
      <x:c r="H10" s="31" t="n">
        <x:f>(Synthetic_Raw!P11-135)/20</x:f>
        <x:v>0.5544166500000003</x:v>
      </x:c>
      <x:c r="I10" s="40" t="n">
        <x:f>0.35*G10+0.35*(ABS(E10)/25)+0.30*ABS(F10)</x:f>
        <x:v>0.6344645295093335</x:v>
      </x:c>
      <x:c r="J10" s="5" t="str">
        <x:f>IF(OR(G10&gt;0.85,I10&gt;0.75,Synthetic_Raw!AC11=1),"VETO","OK")</x:f>
        <x:v>VETO</x:v>
      </x:c>
      <x:c r="K10" s="5" t="str">
        <x:f>IF(J10="VETO","Macro / vol caution","Normal watch")</x:f>
        <x:v>Macro / vol caution</x:v>
      </x:c>
    </x:row>
    <x:row r="11">
      <x:c r="A11" s="46" t="n">
        <x:f>Synthetic_Raw!A12</x:f>
        <x:v>46235</x:v>
      </x:c>
      <x:c r="B11" s="47" t="n">
        <x:f>Synthetic_Raw!O12-Synthetic_Raw!M12</x:f>
        <x:v>-2.0235609999999973</x:v>
      </x:c>
      <x:c r="C11" s="48" t="n">
        <x:f>(Synthetic_Raw!N12/Synthetic_Raw!M12)-1</x:f>
        <x:v>4.912432263968845</x:v>
      </x:c>
      <x:c r="D11" s="29" t="n">
        <x:f>Synthetic_Raw!Q12-Synthetic_Raw!R12</x:f>
        <x:v>53.60793799999999</x:v>
      </x:c>
      <x:c r="E11" s="29" t="n">
        <x:f>Synthetic_Raw!Q12-Synthetic_Raw!Q11</x:f>
        <x:v>2.028639999999996</x:v>
      </x:c>
      <x:c r="F11" s="48" t="n">
        <x:f>(Synthetic_Raw!S12/Synthetic_Raw!S11)-1</x:f>
        <x:v>0.003968251672032741</x:v>
      </x:c>
      <x:c r="G11" s="31" t="n">
        <x:f>0.4*(B11/10)+0.3*C11+0.3*(Synthetic_Raw!M12/20)</x:f>
        <x:v>1.6942719091906535</x:v>
      </x:c>
      <x:c r="H11" s="31" t="n">
        <x:f>(Synthetic_Raw!P12-135)/20</x:f>
        <x:v>0.5014860999999996</x:v>
      </x:c>
      <x:c r="I11" s="40" t="n">
        <x:f>0.35*G11+0.35*(ABS(E11)/25)+0.30*ABS(F11)</x:f>
        <x:v>0.6225866037183384</x:v>
      </x:c>
      <x:c r="J11" s="5" t="str">
        <x:f>IF(OR(G11&gt;0.85,I11&gt;0.75,Synthetic_Raw!AC12=1),"VETO","OK")</x:f>
        <x:v>VETO</x:v>
      </x:c>
      <x:c r="K11" s="5" t="str">
        <x:f>IF(J11="VETO","Macro / vol caution","Normal watch")</x:f>
        <x:v>Macro / vol caution</x:v>
      </x:c>
    </x:row>
    <x:row r="12">
      <x:c r="A12" s="46" t="n">
        <x:f>Synthetic_Raw!A13</x:f>
        <x:v>46266</x:v>
      </x:c>
      <x:c r="B12" s="47" t="n">
        <x:f>Synthetic_Raw!O13-Synthetic_Raw!M13</x:f>
        <x:v>0.12327300000000108</x:v>
      </x:c>
      <x:c r="C12" s="48" t="n">
        <x:f>(Synthetic_Raw!N13/Synthetic_Raw!M13)-1</x:f>
        <x:v>4.7204701628523775</x:v>
      </x:c>
      <x:c r="D12" s="29" t="n">
        <x:f>Synthetic_Raw!Q13-Synthetic_Raw!R13</x:f>
        <x:v>51.233384</x:v>
      </x:c>
      <x:c r="E12" s="29" t="n">
        <x:f>Synthetic_Raw!Q13-Synthetic_Raw!Q12</x:f>
        <x:v>-7.100238999999988</x:v>
      </x:c>
      <x:c r="F12" s="48" t="n">
        <x:f>(Synthetic_Raw!S13/Synthetic_Raw!S12)-1</x:f>
        <x:v>-0.00922265808224787</x:v>
      </x:c>
      <x:c r="G12" s="31" t="n">
        <x:f>0.4*(B12/10)+0.3*C12+0.3*(Synthetic_Raw!M13/20)</x:f>
        <x:v>1.7610009938557132</x:v>
      </x:c>
      <x:c r="H12" s="31" t="n">
        <x:f>(Synthetic_Raw!P13-135)/20</x:f>
        <x:v>0.7132083499999993</x:v>
      </x:c>
      <x:c r="I12" s="40" t="n">
        <x:f>0.35*G12+0.35*(ABS(E12)/25)+0.30*ABS(F12)</x:f>
        <x:v>0.7185204912741737</x:v>
      </x:c>
      <x:c r="J12" s="5" t="str">
        <x:f>IF(OR(G12&gt;0.85,I12&gt;0.75,Synthetic_Raw!AC13=1),"VETO","OK")</x:f>
        <x:v>VETO</x:v>
      </x:c>
      <x:c r="K12" s="5" t="str">
        <x:f>IF(J12="VETO","Macro / vol caution","Normal watch")</x:f>
        <x:v>Macro / vol caution</x:v>
      </x:c>
    </x:row>
    <x:row r="13">
      <x:c r="A13" s="46" t="n">
        <x:f>Synthetic_Raw!A14</x:f>
        <x:v>46296</x:v>
      </x:c>
      <x:c r="B13" s="47" t="n">
        <x:f>Synthetic_Raw!O14-Synthetic_Raw!M14</x:f>
        <x:v>-1.5904029999999985</x:v>
      </x:c>
      <x:c r="C13" s="48" t="n">
        <x:f>(Synthetic_Raw!N14/Synthetic_Raw!M14)-1</x:f>
        <x:v>4.7924257210600025</x:v>
      </x:c>
      <x:c r="D13" s="29" t="n">
        <x:f>Synthetic_Raw!Q14-Synthetic_Raw!R14</x:f>
        <x:v>54.82980500000002</x:v>
      </x:c>
      <x:c r="E13" s="29" t="n">
        <x:f>Synthetic_Raw!Q14-Synthetic_Raw!Q13</x:f>
        <x:v>11.157517999999982</x:v>
      </x:c>
      <x:c r="F13" s="48" t="n">
        <x:f>(Synthetic_Raw!S14/Synthetic_Raw!S13)-1</x:f>
        <x:v>0.011303189986538342</x:v>
      </x:c>
      <x:c r="G13" s="31" t="n">
        <x:f>0.4*(B13/10)+0.3*C13+0.3*(Synthetic_Raw!M14/20)</x:f>
        <x:v>1.6958301413180008</x:v>
      </x:c>
      <x:c r="H13" s="31" t="n">
        <x:f>(Synthetic_Raw!P14-135)/20</x:f>
        <x:v>0.6073471999999995</x:v>
      </x:c>
      <x:c r="I13" s="40" t="n">
        <x:f>0.35*G13+0.35*(ABS(E13)/25)+0.30*ABS(F13)</x:f>
        <x:v>0.7531367584572614</x:v>
      </x:c>
      <x:c r="J13" s="5" t="str">
        <x:f>IF(OR(G13&gt;0.85,I13&gt;0.75,Synthetic_Raw!AC14=1),"VETO","OK")</x:f>
        <x:v>VETO</x:v>
      </x:c>
      <x:c r="K13" s="5" t="str">
        <x:f>IF(J13="VETO","Macro / vol caution","Normal watch")</x:f>
        <x:v>Macro / vol caution</x:v>
      </x:c>
    </x:row>
    <x:row r="14">
      <x:c r="A14" s="46" t="n">
        <x:f>Synthetic_Raw!A15</x:f>
        <x:v>46327</x:v>
      </x:c>
      <x:c r="B14" s="47" t="n">
        <x:f>Synthetic_Raw!O15-Synthetic_Raw!M15</x:f>
        <x:v>-1.5295960000000015</x:v>
      </x:c>
      <x:c r="C14" s="48" t="n">
        <x:f>(Synthetic_Raw!N15/Synthetic_Raw!M15)-1</x:f>
        <x:v>4.966715553615111</x:v>
      </x:c>
      <x:c r="D14" s="29" t="n">
        <x:f>Synthetic_Raw!Q15-Synthetic_Raw!R15</x:f>
        <x:v>56.051672999999994</x:v>
      </x:c>
      <x:c r="E14" s="29" t="n">
        <x:f>Synthetic_Raw!Q15-Synthetic_Raw!Q14</x:f>
        <x:v>4.057278999999994</x:v>
      </x:c>
      <x:c r="F14" s="48" t="n">
        <x:f>(Synthetic_Raw!S15/Synthetic_Raw!S14)-1</x:f>
        <x:v>0.005917159337852196</x:v>
      </x:c>
      <x:c r="G14" s="31" t="n">
        <x:f>0.4*(B14/10)+0.3*C14+0.3*(Synthetic_Raw!M15/20)</x:f>
        <x:v>1.7343622710845332</x:v>
      </x:c>
      <x:c r="H14" s="31" t="n">
        <x:f>(Synthetic_Raw!P15-135)/20</x:f>
        <x:v>0.5544166500000003</x:v>
      </x:c>
      <x:c r="I14" s="40" t="n">
        <x:f>0.35*G14+0.35*(ABS(E14)/25)+0.30*ABS(F14)</x:f>
        <x:v>0.6656038486809421</x:v>
      </x:c>
      <x:c r="J14" s="5" t="str">
        <x:f>IF(OR(G14&gt;0.85,I14&gt;0.75,Synthetic_Raw!AC15=1),"VETO","OK")</x:f>
        <x:v>VETO</x:v>
      </x:c>
      <x:c r="K14" s="5" t="str">
        <x:f>IF(J14="VETO","Macro / vol caution","Normal watch")</x:f>
        <x:v>Macro / vol caution</x:v>
      </x:c>
    </x:row>
    <x:row r="15">
      <x:c r="A15" s="46" t="n">
        <x:f>Synthetic_Raw!A16</x:f>
        <x:v>46357</x:v>
      </x:c>
      <x:c r="B15" s="47" t="n">
        <x:f>Synthetic_Raw!O16-Synthetic_Raw!M16</x:f>
        <x:v>-1.873467999999999</x:v>
      </x:c>
      <x:c r="C15" s="48" t="n">
        <x:f>(Synthetic_Raw!N16/Synthetic_Raw!M16)-1</x:f>
        <x:v>4.965353225788516</x:v>
      </x:c>
      <x:c r="D15" s="29" t="n">
        <x:f>Synthetic_Raw!Q16-Synthetic_Raw!R16</x:f>
        <x:v>56.25922099999997</x:v>
      </x:c>
      <x:c r="E15" s="29" t="n">
        <x:f>Synthetic_Raw!Q16-Synthetic_Raw!Q15</x:f>
        <x:v>3.0429599999999937</x:v>
      </x:c>
      <x:c r="F15" s="48" t="n">
        <x:f>(Synthetic_Raw!S16/Synthetic_Raw!S15)-1</x:f>
        <x:v>0.00784313867983033</x:v>
      </x:c>
      <x:c r="G15" s="31" t="n">
        <x:f>0.4*(B15/10)+0.3*C15+0.3*(Synthetic_Raw!M16/20)</x:f>
        <x:v>1.7100817627365548</x:v>
      </x:c>
      <x:c r="H15" s="31" t="n">
        <x:f>(Synthetic_Raw!P16-135)/20</x:f>
        <x:v>0.5014860999999996</x:v>
      </x:c>
      <x:c r="I15" s="40" t="n">
        <x:f>0.35*G15+0.35*(ABS(E15)/25)+0.30*ABS(F15)</x:f>
        <x:v>0.6434829985617431</x:v>
      </x:c>
      <x:c r="J15" s="5" t="str">
        <x:f>IF(OR(G15&gt;0.85,I15&gt;0.75,Synthetic_Raw!AC16=1),"VETO","OK")</x:f>
        <x:v>VETO</x:v>
      </x:c>
      <x:c r="K15" s="5" t="str">
        <x:f>IF(J15="VETO","Macro / vol caution","Normal watch")</x:f>
        <x:v>Macro / vol caution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10" customWidth="1"/>
    <x:col min="4" max="4" width="11" customWidth="1"/>
    <x:col min="5" max="5" width="10" customWidth="1"/>
    <x:col min="6" max="6" width="10" customWidth="1"/>
    <x:col min="7" max="7" width="10" customWidth="1"/>
    <x:col min="8" max="8" width="10" customWidth="1"/>
    <x:col min="9" max="9" width="11" customWidth="1"/>
    <x:col min="10" max="10" width="11" customWidth="1"/>
    <x:col min="11" max="11" width="12" customWidth="1"/>
    <x:col min="12" max="12" width="12" customWidth="1"/>
    <x:col min="13" max="13" width="26" customWidth="1"/>
  </x:cols>
  <x:sheetData>
    <x:row r="1">
      <x:c r="A1" s="1" t="inlineStr">
        <x:is>
          <x:t xml:space="preserve">Derived State: Execution &amp; Options Pressure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Range_Pct</x:t>
        </x:is>
      </x:c>
      <x:c r="C3" s="15" t="inlineStr">
        <x:is>
          <x:t xml:space="preserve">Rel_Volume</x:t>
        </x:is>
      </x:c>
      <x:c r="D3" s="15" t="inlineStr">
        <x:is>
          <x:t xml:space="preserve">Gamma_Pressure</x:t>
        </x:is>
      </x:c>
      <x:c r="E3" s="15" t="inlineStr">
        <x:is>
          <x:t xml:space="preserve">Flow_Bias</x:t>
        </x:is>
      </x:c>
      <x:c r="F3" s="15" t="inlineStr">
        <x:is>
          <x:t xml:space="preserve">IV_vs_RV</x:t>
        </x:is>
      </x:c>
      <x:c r="G3" s="15" t="inlineStr">
        <x:is>
          <x:t xml:space="preserve">Term_Stress</x:t>
        </x:is>
      </x:c>
      <x:c r="H3" s="15" t="inlineStr">
        <x:is>
          <x:t xml:space="preserve">Skew_Stress</x:t>
        </x:is>
      </x:c>
      <x:c r="I3" s="15" t="inlineStr">
        <x:is>
          <x:t xml:space="preserve">Dealer_Destab</x:t>
        </x:is>
      </x:c>
      <x:c r="J3" s="15" t="inlineStr">
        <x:is>
          <x:t xml:space="preserve">Squeeze_Proxy</x:t>
        </x:is>
      </x:c>
      <x:c r="K3" s="15" t="inlineStr">
        <x:is>
          <x:t xml:space="preserve">Pin_Risk_Proxy</x:t>
        </x:is>
      </x:c>
      <x:c r="L3" s="15" t="inlineStr">
        <x:is>
          <x:t xml:space="preserve">Execution_Context</x:t>
        </x:is>
      </x:c>
      <x:c r="M3" s="15" t="inlineStr">
        <x:is>
          <x:t xml:space="preserve">Comment</x:t>
        </x:is>
      </x:c>
    </x:row>
    <x:row r="4">
      <x:c r="A4" s="49" t="n">
        <x:f>Synthetic_Raw!A5</x:f>
        <x:v>46023</x:v>
      </x:c>
      <x:c r="B4" s="32" t="n">
        <x:f>(Synthetic_Raw!C5-Synthetic_Raw!D5)/Synthetic_Raw!B5</x:f>
        <x:v>0.12728054389216464</x:v>
      </x:c>
      <x:c r="C4" s="32" t="n">
        <x:f>Synthetic_Raw!E5/AVERAGE(Synthetic_Raw!$E$5:Synthetic_Raw!E5)</x:f>
        <x:v>1</x:v>
      </x:c>
      <x:c r="D4" s="32" t="n">
        <x:f>Synthetic_Raw!W5*Synthetic_Raw!X5</x:f>
        <x:v>0.063</x:v>
      </x:c>
      <x:c r="E4" s="32" t="n">
        <x:f>Synthetic_Raw!AB5</x:f>
        <x:v>0.08</x:v>
      </x:c>
      <x:c r="F4" s="32" t="n">
        <x:f>Synthetic_Raw!Y5-Synthetic_Raw!AC5</x:f>
        <x:v>-0.04999999999999999</x:v>
      </x:c>
      <x:c r="G4" s="32" t="n">
        <x:f>Synthetic_Raw!Z5</x:f>
        <x:v>0.03</x:v>
      </x:c>
      <x:c r="H4" s="32" t="n">
        <x:f>Synthetic_Raw!AA5</x:f>
        <x:v>0.11</x:v>
      </x:c>
      <x:c r="I4" s="32" t="n">
        <x:f>-1*Synthetic_Raw!W5</x:f>
        <x:v>-0.15</x:v>
      </x:c>
      <x:c r="J4" s="39" t="n">
        <x:f>0.30*I4+0.25*D4+0.20*E4+0.15*F4+0.10*C4</x:f>
        <x:v>0.07925000000000001</x:v>
      </x:c>
      <x:c r="K4" s="32" t="n">
        <x:f>0.50*ABS(D4)+0.30*Synthetic_Raw!X5+0.20*ABS(G4)</x:f>
        <x:v>0.1635</x:v>
      </x:c>
      <x:c r="L4" s="32" t="n">
        <x:f>0.35*C4+0.20*(1-ABS(B4-0.08))+0.25*MAX(0,J4)+0.20*(1-MIN(1,ABS(Synthetic_Raw!AC5)))</x:f>
        <x:v>0.6663563912215671</x:v>
      </x:c>
      <x:c r="M4" t="str">
        <x:f>IF(J4&gt;0.35,"Possible squeeze regime",IF(K4&gt;0.45,"Pin / strike gravity risk","Normal execution state"))</x:f>
        <x:v>Normal execution state</x:v>
      </x:c>
    </x:row>
    <x:row r="5">
      <x:c r="A5" s="46" t="n">
        <x:f>Synthetic_Raw!A6</x:f>
        <x:v>46054</x:v>
      </x:c>
      <x:c r="B5" s="31" t="n">
        <x:f>(Synthetic_Raw!C6-Synthetic_Raw!D6)/Synthetic_Raw!B6</x:f>
        <x:v>0.12728054652325146</x:v>
      </x:c>
      <x:c r="C5" s="31" t="n">
        <x:f>Synthetic_Raw!E6/AVERAGE(Synthetic_Raw!$E$5:Synthetic_Raw!E6)</x:f>
        <x:v>1.0190735694822888</x:v>
      </x:c>
      <x:c r="D5" s="31" t="n">
        <x:f>Synthetic_Raw!W6*Synthetic_Raw!X6</x:f>
        <x:v>0.044000000000000004</x:v>
      </x:c>
      <x:c r="E5" s="31" t="n">
        <x:f>Synthetic_Raw!AB6</x:f>
        <x:v>0.06</x:v>
      </x:c>
      <x:c r="F5" s="31" t="n">
        <x:f>Synthetic_Raw!Y6-Synthetic_Raw!AC6</x:f>
        <x:v>-0.07999999999999996</x:v>
      </x:c>
      <x:c r="G5" s="31" t="n">
        <x:f>Synthetic_Raw!Z6</x:f>
        <x:v>0.02</x:v>
      </x:c>
      <x:c r="H5" s="31" t="n">
        <x:f>Synthetic_Raw!AA6</x:f>
        <x:v>0.1</x:v>
      </x:c>
      <x:c r="I5" s="31" t="n">
        <x:f>-1*Synthetic_Raw!W6</x:f>
        <x:v>-0.1</x:v>
      </x:c>
      <x:c r="J5" s="40" t="n">
        <x:f>0.30*I5+0.25*D5+0.20*E5+0.15*F5+0.10*C5</x:f>
        <x:v>0.0829073569482289</x:v>
      </x:c>
      <x:c r="K5" s="31" t="n">
        <x:f>0.50*ABS(D5)+0.30*Synthetic_Raw!X6+0.20*ABS(G5)</x:f>
        <x:v>0.158</x:v>
      </x:c>
      <x:c r="L5" s="31" t="n">
        <x:f>0.35*C5+0.20*(1-ABS(B5-0.08))+0.25*MAX(0,J5)+0.20*(1-MIN(1,ABS(Synthetic_Raw!AC6)))</x:f>
        <x:v>0.6719464792512079</x:v>
      </x:c>
      <x:c r="M5" s="5" t="str">
        <x:f>IF(J5&gt;0.35,"Possible squeeze regime",IF(K5&gt;0.45,"Pin / strike gravity risk","Normal execution state"))</x:f>
        <x:v>Normal execution state</x:v>
      </x:c>
    </x:row>
    <x:row r="6">
      <x:c r="A6" s="46" t="n">
        <x:f>Synthetic_Raw!A7</x:f>
        <x:v>46082</x:v>
      </x:c>
      <x:c r="B6" s="31" t="n">
        <x:f>(Synthetic_Raw!C7-Synthetic_Raw!D7)/Synthetic_Raw!B7</x:f>
        <x:v>0.12728054614847067</x:v>
      </x:c>
      <x:c r="C6" s="31" t="n">
        <x:f>Synthetic_Raw!E7/AVERAGE(Synthetic_Raw!$E$5:Synthetic_Raw!E7)</x:f>
        <x:v>1.0374331550802138</x:v>
      </x:c>
      <x:c r="D6" s="31" t="n">
        <x:f>Synthetic_Raw!W7*Synthetic_Raw!X7</x:f>
        <x:v>-0.13649999999999998</x:v>
      </x:c>
      <x:c r="E6" s="31" t="n">
        <x:f>Synthetic_Raw!AB7</x:f>
        <x:v>0</x:v>
      </x:c>
      <x:c r="F6" s="31" t="n">
        <x:f>Synthetic_Raw!Y7-Synthetic_Raw!AC7</x:f>
        <x:v>0.010000000000000009</x:v>
      </x:c>
      <x:c r="G6" s="31" t="n">
        <x:f>Synthetic_Raw!Z7</x:f>
        <x:v>0.06</x:v>
      </x:c>
      <x:c r="H6" s="31" t="n">
        <x:f>Synthetic_Raw!AA7</x:f>
        <x:v>0.15</x:v>
      </x:c>
      <x:c r="I6" s="31" t="n">
        <x:f>-1*Synthetic_Raw!W7</x:f>
        <x:v>0.35</x:v>
      </x:c>
      <x:c r="J6" s="40" t="n">
        <x:f>0.30*I6+0.25*D6+0.20*E6+0.15*F6+0.10*C6</x:f>
        <x:v>0.17611831550802137</x:v>
      </x:c>
      <x:c r="K6" s="31" t="n">
        <x:f>0.50*ABS(D6)+0.30*Synthetic_Raw!X7+0.20*ABS(G6)</x:f>
        <x:v>0.19724999999999998</x:v>
      </x:c>
      <x:c r="L6" s="31" t="n">
        <x:f>0.35*C6+0.20*(1-ABS(B6-0.08))+0.25*MAX(0,J6)+0.20*(1-MIN(1,ABS(Synthetic_Raw!AC7)))</x:f>
        <x:v>0.707675073925386</x:v>
      </x:c>
      <x:c r="M6" s="5" t="str">
        <x:f>IF(J6&gt;0.35,"Possible squeeze regime",IF(K6&gt;0.45,"Pin / strike gravity risk","Normal execution state"))</x:f>
        <x:v>Normal execution state</x:v>
      </x:c>
    </x:row>
    <x:row r="7">
      <x:c r="A7" s="46" t="n">
        <x:f>Synthetic_Raw!A8</x:f>
        <x:v>46113</x:v>
      </x:c>
      <x:c r="B7" s="31" t="n">
        <x:f>(Synthetic_Raw!C8-Synthetic_Raw!D8)/Synthetic_Raw!B8</x:f>
        <x:v>0.1272805455012916</x:v>
      </x:c>
      <x:c r="C7" s="31" t="n">
        <x:f>Synthetic_Raw!E8/AVERAGE(Synthetic_Raw!$E$5:Synthetic_Raw!E8)</x:f>
        <x:v>1.0551181102362204</x:v>
      </x:c>
      <x:c r="D7" s="31" t="n">
        <x:f>Synthetic_Raw!W8*Synthetic_Raw!X8</x:f>
        <x:v>-0.023000000000000003</x:v>
      </x:c>
      <x:c r="E7" s="31" t="n">
        <x:f>Synthetic_Raw!AB8</x:f>
        <x:v>0.02</x:v>
      </x:c>
      <x:c r="F7" s="31" t="n">
        <x:f>Synthetic_Raw!Y8-Synthetic_Raw!AC8</x:f>
        <x:v>-0.07</x:v>
      </x:c>
      <x:c r="G7" s="31" t="n">
        <x:f>Synthetic_Raw!Z8</x:f>
        <x:v>0.04</x:v>
      </x:c>
      <x:c r="H7" s="31" t="n">
        <x:f>Synthetic_Raw!AA8</x:f>
        <x:v>0.13</x:v>
      </x:c>
      <x:c r="I7" s="31" t="n">
        <x:f>-1*Synthetic_Raw!W8</x:f>
        <x:v>0.05</x:v>
      </x:c>
      <x:c r="J7" s="40" t="n">
        <x:f>0.30*I7+0.25*D7+0.20*E7+0.15*F7+0.10*C7</x:f>
        <x:v>0.10826181102362205</x:v>
      </x:c>
      <x:c r="K7" s="31" t="n">
        <x:f>0.50*ABS(D7)+0.30*Synthetic_Raw!X8+0.20*ABS(G7)</x:f>
        <x:v>0.15750000000000003</x:v>
      </x:c>
      <x:c r="L7" s="31" t="n">
        <x:f>0.35*C7+0.20*(1-ABS(B7-0.08))+0.25*MAX(0,J7)+0.20*(1-MIN(1,ABS(Synthetic_Raw!AC8)))</x:f>
        <x:v>0.6869006822383243</x:v>
      </x:c>
      <x:c r="M7" s="5" t="str">
        <x:f>IF(J7&gt;0.35,"Possible squeeze regime",IF(K7&gt;0.45,"Pin / strike gravity risk","Normal execution state"))</x:f>
        <x:v>Normal execution state</x:v>
      </x:c>
    </x:row>
    <x:row r="8">
      <x:c r="A8" s="46" t="n">
        <x:f>Synthetic_Raw!A9</x:f>
        <x:v>46143</x:v>
      </x:c>
      <x:c r="B8" s="31" t="n">
        <x:f>(Synthetic_Raw!C9-Synthetic_Raw!D9)/Synthetic_Raw!B9</x:f>
        <x:v>0.12728054900691677</x:v>
      </x:c>
      <x:c r="C8" s="31" t="n">
        <x:f>Synthetic_Raw!E9/AVERAGE(Synthetic_Raw!$E$5:Synthetic_Raw!E9)</x:f>
        <x:v>1.0721649484536082</x:v>
      </x:c>
      <x:c r="D8" s="31" t="n">
        <x:f>Synthetic_Raw!W9*Synthetic_Raw!X9</x:f>
        <x:v>0.0245</x:v>
      </x:c>
      <x:c r="E8" s="31" t="n">
        <x:f>Synthetic_Raw!AB9</x:f>
        <x:v>0.05</x:v>
      </x:c>
      <x:c r="F8" s="31" t="n">
        <x:f>Synthetic_Raw!Y9-Synthetic_Raw!AC9</x:f>
        <x:v>-0.11000000000000004</x:v>
      </x:c>
      <x:c r="G8" s="31" t="n">
        <x:f>Synthetic_Raw!Z9</x:f>
        <x:v>0.03</x:v>
      </x:c>
      <x:c r="H8" s="31" t="n">
        <x:f>Synthetic_Raw!AA9</x:f>
        <x:v>0.12</x:v>
      </x:c>
      <x:c r="I8" s="31" t="n">
        <x:f>-1*Synthetic_Raw!W9</x:f>
        <x:v>-0.05</x:v>
      </x:c>
      <x:c r="J8" s="40" t="n">
        <x:f>0.30*I8+0.25*D8+0.20*E8+0.15*F8+0.10*C8</x:f>
        <x:v>0.09184149484536083</x:v>
      </x:c>
      <x:c r="K8" s="31" t="n">
        <x:f>0.50*ABS(D8)+0.30*Synthetic_Raw!X9+0.20*ABS(G8)</x:f>
        <x:v>0.16525</x:v>
      </x:c>
      <x:c r="L8" s="31" t="n">
        <x:f>0.35*C8+0.20*(1-ABS(B8-0.08))+0.25*MAX(0,J8)+0.20*(1-MIN(1,ABS(Synthetic_Raw!AC9)))</x:f>
        <x:v>0.6847619958687197</x:v>
      </x:c>
      <x:c r="M8" s="5" t="str">
        <x:f>IF(J8&gt;0.35,"Possible squeeze regime",IF(K8&gt;0.45,"Pin / strike gravity risk","Normal execution state"))</x:f>
        <x:v>Normal execution state</x:v>
      </x:c>
    </x:row>
    <x:row r="9">
      <x:c r="A9" s="46" t="n">
        <x:f>Synthetic_Raw!A10</x:f>
        <x:v>46174</x:v>
      </x:c>
      <x:c r="B9" s="31" t="n">
        <x:f>(Synthetic_Raw!C10-Synthetic_Raw!D10)/Synthetic_Raw!B10</x:f>
        <x:v>0.12728054297692187</x:v>
      </x:c>
      <x:c r="C9" s="31" t="n">
        <x:f>Synthetic_Raw!E10/AVERAGE(Synthetic_Raw!$E$5:Synthetic_Raw!E10)</x:f>
        <x:v>1.0886075949367089</x:v>
      </x:c>
      <x:c r="D9" s="31" t="n">
        <x:f>Synthetic_Raw!W10*Synthetic_Raw!X10</x:f>
        <x:v>0.051000000000000004</x:v>
      </x:c>
      <x:c r="E9" s="31" t="n">
        <x:f>Synthetic_Raw!AB10</x:f>
        <x:v>0.08</x:v>
      </x:c>
      <x:c r="F9" s="31" t="n">
        <x:f>Synthetic_Raw!Y10-Synthetic_Raw!AC10</x:f>
        <x:v>-0.14</x:v>
      </x:c>
      <x:c r="G9" s="31" t="n">
        <x:f>Synthetic_Raw!Z10</x:f>
        <x:v>0.02</x:v>
      </x:c>
      <x:c r="H9" s="31" t="n">
        <x:f>Synthetic_Raw!AA10</x:f>
        <x:v>0.11</x:v>
      </x:c>
      <x:c r="I9" s="31" t="n">
        <x:f>-1*Synthetic_Raw!W10</x:f>
        <x:v>-0.1</x:v>
      </x:c>
      <x:c r="J9" s="40" t="n">
        <x:f>0.30*I9+0.25*D9+0.20*E9+0.15*F9+0.10*C9</x:f>
        <x:v>0.08661075949367089</x:v>
      </x:c>
      <x:c r="K9" s="31" t="n">
        <x:f>0.50*ABS(D9)+0.30*Synthetic_Raw!X10+0.20*ABS(G9)</x:f>
        <x:v>0.1825</x:v>
      </x:c>
      <x:c r="L9" s="31" t="n">
        <x:f>0.35*C9+0.20*(1-ABS(B9-0.08))+0.25*MAX(0,J9)+0.20*(1-MIN(1,ABS(Synthetic_Raw!AC10)))</x:f>
        <x:v>0.6872092395058814</x:v>
      </x:c>
      <x:c r="M9" s="5" t="str">
        <x:f>IF(J9&gt;0.35,"Possible squeeze regime",IF(K9&gt;0.45,"Pin / strike gravity risk","Normal execution state"))</x:f>
        <x:v>Normal execution state</x:v>
      </x:c>
    </x:row>
    <x:row r="10">
      <x:c r="A10" s="46" t="n">
        <x:f>Synthetic_Raw!A11</x:f>
        <x:v>46204</x:v>
      </x:c>
      <x:c r="B10" s="31" t="n">
        <x:f>(Synthetic_Raw!C11-Synthetic_Raw!D11)/Synthetic_Raw!B11</x:f>
        <x:v>0.12728054688915788</x:v>
      </x:c>
      <x:c r="C10" s="31" t="n">
        <x:f>Synthetic_Raw!E11/AVERAGE(Synthetic_Raw!$E$5:Synthetic_Raw!E11)</x:f>
        <x:v>1.1044776119402986</x:v>
      </x:c>
      <x:c r="D10" s="31" t="n">
        <x:f>Synthetic_Raw!W11*Synthetic_Raw!X11</x:f>
        <x:v>0.09720000000000001</x:v>
      </x:c>
      <x:c r="E10" s="31" t="n">
        <x:f>Synthetic_Raw!AB11</x:f>
        <x:v>0.12</x:v>
      </x:c>
      <x:c r="F10" s="31" t="n">
        <x:f>Synthetic_Raw!Y11-Synthetic_Raw!AC11</x:f>
        <x:v>-0.17000000000000004</x:v>
      </x:c>
      <x:c r="G10" s="31" t="n">
        <x:f>Synthetic_Raw!Z11</x:f>
        <x:v>0.01</x:v>
      </x:c>
      <x:c r="H10" s="31" t="n">
        <x:f>Synthetic_Raw!AA11</x:f>
        <x:v>0.1</x:v>
      </x:c>
      <x:c r="I10" s="31" t="n">
        <x:f>-1*Synthetic_Raw!W11</x:f>
        <x:v>-0.18</x:v>
      </x:c>
      <x:c r="J10" s="40" t="n">
        <x:f>0.30*I10+0.25*D10+0.20*E10+0.15*F10+0.10*C10</x:f>
        <x:v>0.07924776119402986</x:v>
      </x:c>
      <x:c r="K10" s="31" t="n">
        <x:f>0.50*ABS(D10)+0.30*Synthetic_Raw!X11+0.20*ABS(G10)</x:f>
        <x:v>0.2126</x:v>
      </x:c>
      <x:c r="L10" s="31" t="n">
        <x:f>0.35*C10+0.20*(1-ABS(B10-0.08))+0.25*MAX(0,J10)+0.20*(1-MIN(1,ABS(Synthetic_Raw!AC11)))</x:f>
        <x:v>0.6869229950997803</x:v>
      </x:c>
      <x:c r="M10" s="5" t="str">
        <x:f>IF(J10&gt;0.35,"Possible squeeze regime",IF(K10&gt;0.45,"Pin / strike gravity risk","Normal execution state"))</x:f>
        <x:v>Normal execution state</x:v>
      </x:c>
    </x:row>
    <x:row r="11">
      <x:c r="A11" s="46" t="n">
        <x:f>Synthetic_Raw!A12</x:f>
        <x:v>46235</x:v>
      </x:c>
      <x:c r="B11" s="31" t="n">
        <x:f>(Synthetic_Raw!C12-Synthetic_Raw!D12)/Synthetic_Raw!B12</x:f>
        <x:v>0.12728054414230447</x:v>
      </x:c>
      <x:c r="C11" s="31" t="n">
        <x:f>Synthetic_Raw!E12/AVERAGE(Synthetic_Raw!$E$5:Synthetic_Raw!E12)</x:f>
        <x:v>1.119804400977995</x:v>
      </x:c>
      <x:c r="D11" s="31" t="n">
        <x:f>Synthetic_Raw!W12*Synthetic_Raw!X12</x:f>
        <x:v>0.11200000000000002</x:v>
      </x:c>
      <x:c r="E11" s="31" t="n">
        <x:f>Synthetic_Raw!AB12</x:f>
        <x:v>0.14</x:v>
      </x:c>
      <x:c r="F11" s="31" t="n">
        <x:f>Synthetic_Raw!Y12-Synthetic_Raw!AC12</x:f>
        <x:v>-0.19999999999999996</x:v>
      </x:c>
      <x:c r="G11" s="31" t="n">
        <x:f>Synthetic_Raw!Z12</x:f>
        <x:v>0.01</x:v>
      </x:c>
      <x:c r="H11" s="31" t="n">
        <x:f>Synthetic_Raw!AA12</x:f>
        <x:v>0.1</x:v>
      </x:c>
      <x:c r="I11" s="31" t="n">
        <x:f>-1*Synthetic_Raw!W12</x:f>
        <x:v>-0.2</x:v>
      </x:c>
      <x:c r="J11" s="40" t="n">
        <x:f>0.30*I11+0.25*D11+0.20*E11+0.15*F11+0.10*C11</x:f>
        <x:v>0.07798044009779953</x:v>
      </x:c>
      <x:c r="K11" s="31" t="n">
        <x:f>0.50*ABS(D11)+0.30*Synthetic_Raw!X12+0.20*ABS(G11)</x:f>
        <x:v>0.22600000000000003</x:v>
      </x:c>
      <x:c r="L11" s="31" t="n">
        <x:f>0.35*C11+0.20*(1-ABS(B11-0.08))+0.25*MAX(0,J11)+0.20*(1-MIN(1,ABS(Synthetic_Raw!AC12)))</x:f>
        <x:v>0.6879705415382873</x:v>
      </x:c>
      <x:c r="M11" s="5" t="str">
        <x:f>IF(J11&gt;0.35,"Possible squeeze regime",IF(K11&gt;0.45,"Pin / strike gravity risk","Normal execution state"))</x:f>
        <x:v>Normal execution state</x:v>
      </x:c>
    </x:row>
    <x:row r="12">
      <x:c r="A12" s="46" t="n">
        <x:f>Synthetic_Raw!A13</x:f>
        <x:v>46266</x:v>
      </x:c>
      <x:c r="B12" s="31" t="n">
        <x:f>(Synthetic_Raw!C13-Synthetic_Raw!D13)/Synthetic_Raw!B13</x:f>
        <x:v>0.1272805450000853</x:v>
      </x:c>
      <x:c r="C12" s="31" t="n">
        <x:f>Synthetic_Raw!E13/AVERAGE(Synthetic_Raw!$E$5:Synthetic_Raw!E13)</x:f>
        <x:v>1.1346153846153846</x:v>
      </x:c>
      <x:c r="D12" s="31" t="n">
        <x:f>Synthetic_Raw!W13*Synthetic_Raw!X13</x:f>
        <x:v>-0.048</x:v>
      </x:c>
      <x:c r="E12" s="31" t="n">
        <x:f>Synthetic_Raw!AB13</x:f>
        <x:v>0</x:v>
      </x:c>
      <x:c r="F12" s="31" t="n">
        <x:f>Synthetic_Raw!Y13-Synthetic_Raw!AC13</x:f>
        <x:v>-0.10000000000000003</x:v>
      </x:c>
      <x:c r="G12" s="31" t="n">
        <x:f>Synthetic_Raw!Z13</x:f>
        <x:v>0.04</x:v>
      </x:c>
      <x:c r="H12" s="31" t="n">
        <x:f>Synthetic_Raw!AA13</x:f>
        <x:v>0.12</x:v>
      </x:c>
      <x:c r="I12" s="31" t="n">
        <x:f>-1*Synthetic_Raw!W13</x:f>
        <x:v>0.1</x:v>
      </x:c>
      <x:c r="J12" s="40" t="n">
        <x:f>0.30*I12+0.25*D12+0.20*E12+0.15*F12+0.10*C12</x:f>
        <x:v>0.11646153846153845</x:v>
      </x:c>
      <x:c r="K12" s="31" t="n">
        <x:f>0.50*ABS(D12)+0.30*Synthetic_Raw!X13+0.20*ABS(G12)</x:f>
        <x:v>0.176</x:v>
      </x:c>
      <x:c r="L12" s="31" t="n">
        <x:f>0.35*C12+0.20*(1-ABS(B12-0.08))+0.25*MAX(0,J12)+0.20*(1-MIN(1,ABS(Synthetic_Raw!AC13)))</x:f>
        <x:v>0.7147746602307522</x:v>
      </x:c>
      <x:c r="M12" s="5" t="str">
        <x:f>IF(J12&gt;0.35,"Possible squeeze regime",IF(K12&gt;0.45,"Pin / strike gravity risk","Normal execution state"))</x:f>
        <x:v>Normal execution state</x:v>
      </x:c>
    </x:row>
    <x:row r="13">
      <x:c r="A13" s="46" t="n">
        <x:f>Synthetic_Raw!A14</x:f>
        <x:v>46296</x:v>
      </x:c>
      <x:c r="B13" s="31" t="n">
        <x:f>(Synthetic_Raw!C14-Synthetic_Raw!D14)/Synthetic_Raw!B14</x:f>
        <x:v>0.12728054630285474</x:v>
      </x:c>
      <x:c r="C13" s="31" t="n">
        <x:f>Synthetic_Raw!E14/AVERAGE(Synthetic_Raw!$E$5:Synthetic_Raw!E14)</x:f>
        <x:v>1.148936170212766</x:v>
      </x:c>
      <x:c r="D13" s="31" t="n">
        <x:f>Synthetic_Raw!W14*Synthetic_Raw!X14</x:f>
        <x:v>0.0696</x:v>
      </x:c>
      <x:c r="E13" s="31" t="n">
        <x:f>Synthetic_Raw!AB14</x:f>
        <x:v>0.1</x:v>
      </x:c>
      <x:c r="F13" s="31" t="n">
        <x:f>Synthetic_Raw!Y14-Synthetic_Raw!AC14</x:f>
        <x:v>-0.18999999999999995</x:v>
      </x:c>
      <x:c r="G13" s="31" t="n">
        <x:f>Synthetic_Raw!Z14</x:f>
        <x:v>0.02</x:v>
      </x:c>
      <x:c r="H13" s="31" t="n">
        <x:f>Synthetic_Raw!AA14</x:f>
        <x:v>0.11</x:v>
      </x:c>
      <x:c r="I13" s="31" t="n">
        <x:f>-1*Synthetic_Raw!W14</x:f>
        <x:v>-0.12</x:v>
      </x:c>
      <x:c r="J13" s="40" t="n">
        <x:f>0.30*I13+0.25*D13+0.20*E13+0.15*F13+0.10*C13</x:f>
        <x:v>0.08779361702127662</x:v>
      </x:c>
      <x:c r="K13" s="31" t="n">
        <x:f>0.50*ABS(D13)+0.30*Synthetic_Raw!X14+0.20*ABS(G13)</x:f>
        <x:v>0.2128</x:v>
      </x:c>
      <x:c r="L13" s="31" t="n">
        <x:f>0.35*C13+0.20*(1-ABS(B13-0.08))+0.25*MAX(0,J13)+0.20*(1-MIN(1,ABS(Synthetic_Raw!AC14)))</x:f>
        <x:v>0.6986199545692164</x:v>
      </x:c>
      <x:c r="M13" s="5" t="str">
        <x:f>IF(J13&gt;0.35,"Possible squeeze regime",IF(K13&gt;0.45,"Pin / strike gravity risk","Normal execution state"))</x:f>
        <x:v>Normal execution state</x:v>
      </x:c>
    </x:row>
    <x:row r="14">
      <x:c r="A14" s="46" t="n">
        <x:f>Synthetic_Raw!A15</x:f>
        <x:v>46327</x:v>
      </x:c>
      <x:c r="B14" s="31" t="n">
        <x:f>(Synthetic_Raw!C15-Synthetic_Raw!D15)/Synthetic_Raw!B15</x:f>
        <x:v>0.12728054749234</x:v>
      </x:c>
      <x:c r="C14" s="31" t="n">
        <x:f>Synthetic_Raw!E15/AVERAGE(Synthetic_Raw!$E$5:Synthetic_Raw!E15)</x:f>
        <x:v>1.1627906976744187</x:v>
      </x:c>
      <x:c r="D14" s="31" t="n">
        <x:f>Synthetic_Raw!W15*Synthetic_Raw!X15</x:f>
        <x:v>0.108</x:v>
      </x:c>
      <x:c r="E14" s="31" t="n">
        <x:f>Synthetic_Raw!AB15</x:f>
        <x:v>0.12</x:v>
      </x:c>
      <x:c r="F14" s="31" t="n">
        <x:f>Synthetic_Raw!Y15-Synthetic_Raw!AC15</x:f>
        <x:v>-0.21999999999999997</x:v>
      </x:c>
      <x:c r="G14" s="31" t="n">
        <x:f>Synthetic_Raw!Z15</x:f>
        <x:v>0.01</x:v>
      </x:c>
      <x:c r="H14" s="31" t="n">
        <x:f>Synthetic_Raw!AA15</x:f>
        <x:v>0.1</x:v>
      </x:c>
      <x:c r="I14" s="31" t="n">
        <x:f>-1*Synthetic_Raw!W15</x:f>
        <x:v>-0.18</x:v>
      </x:c>
      <x:c r="J14" s="40" t="n">
        <x:f>0.30*I14+0.25*D14+0.20*E14+0.15*F14+0.10*C14</x:f>
        <x:v>0.08027906976744188</x:v>
      </x:c>
      <x:c r="K14" s="31" t="n">
        <x:f>0.50*ABS(D14)+0.30*Synthetic_Raw!X15+0.20*ABS(G14)</x:f>
        <x:v>0.236</x:v>
      </x:c>
      <x:c r="L14" s="31" t="n">
        <x:f>0.35*C14+0.20*(1-ABS(B14-0.08))+0.25*MAX(0,J14)+0.20*(1-MIN(1,ABS(Synthetic_Raw!AC15)))</x:f>
        <x:v>0.697590402129439</x:v>
      </x:c>
      <x:c r="M14" s="5" t="str">
        <x:f>IF(J14&gt;0.35,"Possible squeeze regime",IF(K14&gt;0.45,"Pin / strike gravity risk","Normal execution state"))</x:f>
        <x:v>Normal execution state</x:v>
      </x:c>
    </x:row>
    <x:row r="15">
      <x:c r="A15" s="46" t="n">
        <x:f>Synthetic_Raw!A16</x:f>
        <x:v>46357</x:v>
      </x:c>
      <x:c r="B15" s="31" t="n">
        <x:f>(Synthetic_Raw!C16-Synthetic_Raw!D16)/Synthetic_Raw!B16</x:f>
        <x:v>0.1272805424622783</x:v>
      </x:c>
      <x:c r="C15" s="31" t="n">
        <x:f>Synthetic_Raw!E16/AVERAGE(Synthetic_Raw!$E$5:Synthetic_Raw!E16)</x:f>
        <x:v>1.1762013729977117</x:v>
      </x:c>
      <x:c r="D15" s="31" t="n">
        <x:f>Synthetic_Raw!W16*Synthetic_Raw!X16</x:f>
        <x:v>0.1386</x:v>
      </x:c>
      <x:c r="E15" s="31" t="n">
        <x:f>Synthetic_Raw!AB16</x:f>
        <x:v>0.16</x:v>
      </x:c>
      <x:c r="F15" s="31" t="n">
        <x:f>Synthetic_Raw!Y16-Synthetic_Raw!AC16</x:f>
        <x:v>-0.26</x:v>
      </x:c>
      <x:c r="G15" s="31" t="n">
        <x:f>Synthetic_Raw!Z16</x:f>
        <x:v>0.01</x:v>
      </x:c>
      <x:c r="H15" s="31" t="n">
        <x:f>Synthetic_Raw!AA16</x:f>
        <x:v>0.09</x:v>
      </x:c>
      <x:c r="I15" s="31" t="n">
        <x:f>-1*Synthetic_Raw!W16</x:f>
        <x:v>-0.22</x:v>
      </x:c>
      <x:c r="J15" s="40" t="n">
        <x:f>0.30*I15+0.25*D15+0.20*E15+0.15*F15+0.10*C15</x:f>
        <x:v>0.07927013729977117</x:v>
      </x:c>
      <x:c r="K15" s="31" t="n">
        <x:f>0.50*ABS(D15)+0.30*Synthetic_Raw!X16+0.20*ABS(G15)</x:f>
        <x:v>0.2603</x:v>
      </x:c>
      <x:c r="L15" s="31" t="n">
        <x:f>0.35*C15+0.20*(1-ABS(B15-0.08))+0.25*MAX(0,J15)+0.20*(1-MIN(1,ABS(Synthetic_Raw!AC16)))</x:f>
        <x:v>0.6980319063816862</x:v>
      </x:c>
      <x:c r="M15" s="5" t="str">
        <x:f>IF(J15&gt;0.35,"Possible squeeze regime",IF(K15&gt;0.45,"Pin / strike gravity risk","Normal execution state"))</x:f>
        <x:v>Normal execution state</x:v>
      </x:c>
    </x:row>
  </x:sheetData>
  <x:mergeCells>
    <x:mergeCell ref="A1:M1"/>
  </x:mergeCells>
  <x:pageMargins left="0.7" right="0.7" top="0.75" bottom="0.75" header="0.3" footer="0.3"/>
  <x:legacyDrawing xmlns:r="http://schemas.openxmlformats.org/officeDocument/2006/relationships" r:id="R142851c850524dff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1" customWidth="1"/>
    <x:col min="3" max="3" width="11" customWidth="1"/>
    <x:col min="4" max="4" width="12" customWidth="1"/>
    <x:col min="5" max="5" width="13" customWidth="1"/>
    <x:col min="6" max="6" width="11" customWidth="1"/>
    <x:col min="7" max="7" width="11" customWidth="1"/>
    <x:col min="8" max="8" width="11" customWidth="1"/>
    <x:col min="9" max="9" width="13" customWidth="1"/>
    <x:col min="10" max="10" width="24" customWidth="1"/>
  </x:cols>
  <x:sheetData>
    <x:row r="1">
      <x:c r="A1" s="1" t="inlineStr">
        <x:is>
          <x:t xml:space="preserve">Derived State: Asia Handoff &amp; Breadth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NKY_Return</x:t>
        </x:is>
      </x:c>
      <x:c r="C3" s="15" t="inlineStr">
        <x:is>
          <x:t xml:space="preserve">HSI_Return</x:t>
        </x:is>
      </x:c>
      <x:c r="D3" s="15" t="inlineStr">
        <x:is>
          <x:t xml:space="preserve">HSTECH_Return</x:t>
        </x:is>
      </x:c>
      <x:c r="E3" s="15" t="inlineStr">
        <x:is>
          <x:t xml:space="preserve">Asia_Handoff_Score</x:t>
        </x:is>
      </x:c>
      <x:c r="F3" s="15" t="inlineStr">
        <x:is>
          <x:t xml:space="preserve">SPX_Breadth</x:t>
        </x:is>
      </x:c>
      <x:c r="G3" s="15" t="inlineStr">
        <x:is>
          <x:t xml:space="preserve">NDX_Breadth</x:t>
        </x:is>
      </x:c>
      <x:c r="H3" s="15" t="inlineStr">
        <x:is>
          <x:t xml:space="preserve">SOX_Breadth</x:t>
        </x:is>
      </x:c>
      <x:c r="I3" s="15" t="inlineStr">
        <x:is>
          <x:t xml:space="preserve">Concentration_Risk</x:t>
        </x:is>
      </x:c>
      <x:c r="J3" s="15" t="inlineStr">
        <x:is>
          <x:t xml:space="preserve">Comment</x:t>
        </x:is>
      </x:c>
    </x:row>
    <x:row r="4">
      <x:c r="A4" s="49" t="n">
        <x:f>Synthetic_Raw!A5</x:f>
        <x:v>46023</x:v>
      </x:c>
      <x:c r="B4" s="50" t="inlineStr">
        <x:is>
          <x:t xml:space="preserve"/>
        </x:is>
      </x:c>
      <x:c r="C4" s="50" t="inlineStr">
        <x:is>
          <x:t xml:space="preserve"/>
        </x:is>
      </x:c>
      <x:c r="D4" s="50" t="inlineStr">
        <x:is>
          <x:t xml:space="preserve"/>
        </x:is>
      </x:c>
      <x:c r="E4" s="51" t="inlineStr">
        <x:is>
          <x:t xml:space="preserve"/>
        </x:is>
      </x:c>
      <x:c r="F4" s="50" t="inlineStr">
        <x:is>
          <x:t xml:space="preserve"/>
        </x:is>
      </x:c>
      <x:c r="G4" s="50" t="inlineStr">
        <x:is>
          <x:t xml:space="preserve"/>
        </x:is>
      </x:c>
      <x:c r="H4" s="50" t="inlineStr">
        <x:is>
          <x:t xml:space="preserve"/>
        </x:is>
      </x:c>
      <x:c r="I4" s="50" t="inlineStr">
        <x:is>
          <x:t xml:space="preserve"/>
        </x:is>
      </x:c>
    </x:row>
    <x:row r="5">
      <x:c r="A5" s="46" t="n">
        <x:f>Synthetic_Raw!A6</x:f>
        <x:v>46054</x:v>
      </x:c>
      <x:c r="B5" s="48" t="n">
        <x:f>(Synthetic_Raw!J6/Synthetic_Raw!J5)-1</x:f>
        <x:v>0.011976047890330355</x:v>
      </x:c>
      <x:c r="C5" s="48" t="n">
        <x:f>(Synthetic_Raw!K6/Synthetic_Raw!K5)-1</x:f>
        <x:v>0.010089020763303314</x:v>
      </x:c>
      <x:c r="D5" s="48" t="n">
        <x:f>(Synthetic_Raw!L6/Synthetic_Raw!L5)-1</x:f>
        <x:v>0.016566265216897857</x:v>
      </x:c>
      <x:c r="E5" s="52" t="n">
        <x:f>0.35*B5+0.30*C5+0.35*D5</x:f>
        <x:v>0.013016515816520868</x:v>
      </x:c>
      <x:c r="F5" s="48" t="n">
        <x:f>Synthetic_Raw!T6</x:f>
        <x:v>0.56</x:v>
      </x:c>
      <x:c r="G5" s="48" t="n">
        <x:f>Synthetic_Raw!U6</x:f>
        <x:v>0.58</x:v>
      </x:c>
      <x:c r="H5" s="48" t="n">
        <x:f>Synthetic_Raw!V6</x:f>
        <x:v>0.59</x:v>
      </x:c>
      <x:c r="I5" s="48" t="n">
        <x:f>1-AVERAGE(F5:H5)</x:f>
        <x:v>0.42333333333333334</x:v>
      </x:c>
      <x:c r="J5" s="5" t="str">
        <x:f>IF(E5&gt;0.02,"Positive Asia handoff",IF(E5&lt;-0.02,"Negative Asia handoff","Flat Asia handoff"))</x:f>
        <x:v>Flat Asia handoff</x:v>
      </x:c>
    </x:row>
    <x:row r="6">
      <x:c r="A6" s="46" t="n">
        <x:f>Synthetic_Raw!A7</x:f>
        <x:v>46082</x:v>
      </x:c>
      <x:c r="B6" s="48" t="n">
        <x:f>(Synthetic_Raw!J7/Synthetic_Raw!J6)-1</x:f>
        <x:v>-0.019230769224534594</x:v>
      </x:c>
      <x:c r="C6" s="48" t="n">
        <x:f>(Synthetic_Raw!K7/Synthetic_Raw!K6)-1</x:f>
        <x:v>-0.025851938901746196</x:v>
      </x:c>
      <x:c r="D6" s="48" t="n">
        <x:f>(Synthetic_Raw!L7/Synthetic_Raw!L6)-1</x:f>
        <x:v>-0.028148148244206972</x:v>
      </x:c>
      <x:c r="E6" s="52" t="n">
        <x:f>0.35*B6+0.30*C6+0.35*D6</x:f>
        <x:v>-0.02433820278458341</x:v>
      </x:c>
      <x:c r="F6" s="48" t="n">
        <x:f>Synthetic_Raw!T7</x:f>
        <x:v>0.44</x:v>
      </x:c>
      <x:c r="G6" s="48" t="n">
        <x:f>Synthetic_Raw!U7</x:f>
        <x:v>0.42</x:v>
      </x:c>
      <x:c r="H6" s="48" t="n">
        <x:f>Synthetic_Raw!V7</x:f>
        <x:v>0.4</x:v>
      </x:c>
      <x:c r="I6" s="48" t="n">
        <x:f>1-AVERAGE(F6:H6)</x:f>
        <x:v>0.5800000000000001</x:v>
      </x:c>
      <x:c r="J6" s="5" t="str">
        <x:f>IF(E6&gt;0.02,"Positive Asia handoff",IF(E6&lt;-0.02,"Negative Asia handoff","Flat Asia handoff"))</x:f>
        <x:v>Negative Asia handoff</x:v>
      </x:c>
    </x:row>
    <x:row r="7">
      <x:c r="A7" s="46" t="n">
        <x:f>Synthetic_Raw!A8</x:f>
        <x:v>46113</x:v>
      </x:c>
      <x:c r="B7" s="48" t="n">
        <x:f>(Synthetic_Raw!J8/Synthetic_Raw!J7)-1</x:f>
        <x:v>0.04072398189264126</x:v>
      </x:c>
      <x:c r="C7" s="48" t="n">
        <x:f>(Synthetic_Raw!K8/Synthetic_Raw!K7)-1</x:f>
        <x:v>0.03377563328007138</x:v>
      </x:c>
      <x:c r="D7" s="48" t="n">
        <x:f>(Synthetic_Raw!L8/Synthetic_Raw!L7)-1</x:f>
        <x:v>0.039634146316037455</x:v>
      </x:c>
      <x:c r="E7" s="52" t="n">
        <x:f>0.35*B7+0.30*C7+0.35*D7</x:f>
        <x:v>0.03825803485705896</x:v>
      </x:c>
      <x:c r="F7" s="48" t="n">
        <x:f>Synthetic_Raw!T8</x:f>
        <x:v>0.58</x:v>
      </x:c>
      <x:c r="G7" s="48" t="n">
        <x:f>Synthetic_Raw!U8</x:f>
        <x:v>0.6</x:v>
      </x:c>
      <x:c r="H7" s="48" t="n">
        <x:f>Synthetic_Raw!V8</x:f>
        <x:v>0.62</x:v>
      </x:c>
      <x:c r="I7" s="48" t="n">
        <x:f>1-AVERAGE(F7:H7)</x:f>
        <x:v>0.4</x:v>
      </x:c>
      <x:c r="J7" s="5" t="str">
        <x:f>IF(E7&gt;0.02,"Positive Asia handoff",IF(E7&lt;-0.02,"Negative Asia handoff","Flat Asia handoff"))</x:f>
        <x:v>Positive Asia handoff</x:v>
      </x:c>
    </x:row>
    <x:row r="8">
      <x:c r="A8" s="46" t="n">
        <x:f>Synthetic_Raw!A9</x:f>
        <x:v>46143</x:v>
      </x:c>
      <x:c r="B8" s="48" t="n">
        <x:f>(Synthetic_Raw!J9/Synthetic_Raw!J8)-1</x:f>
        <x:v>0.017391304354424042</x:v>
      </x:c>
      <x:c r="C8" s="48" t="n">
        <x:f>(Synthetic_Raw!K9/Synthetic_Raw!K8)-1</x:f>
        <x:v>0.015752625452149394</x:v>
      </x:c>
      <x:c r="D8" s="48" t="n">
        <x:f>(Synthetic_Raw!L9/Synthetic_Raw!L8)-1</x:f>
        <x:v>0.017595307937884108</x:v>
      </x:c>
      <x:c r="E8" s="52" t="n">
        <x:f>0.35*B8+0.30*C8+0.35*D8</x:f>
        <x:v>0.01697110193795267</x:v>
      </x:c>
      <x:c r="F8" s="48" t="n">
        <x:f>Synthetic_Raw!T9</x:f>
        <x:v>0.6</x:v>
      </x:c>
      <x:c r="G8" s="48" t="n">
        <x:f>Synthetic_Raw!U9</x:f>
        <x:v>0.63</x:v>
      </x:c>
      <x:c r="H8" s="48" t="n">
        <x:f>Synthetic_Raw!V9</x:f>
        <x:v>0.65</x:v>
      </x:c>
      <x:c r="I8" s="48" t="n">
        <x:f>1-AVERAGE(F8:H8)</x:f>
        <x:v>0.3733333333333334</x:v>
      </x:c>
      <x:c r="J8" s="5" t="str">
        <x:f>IF(E8&gt;0.02,"Positive Asia handoff",IF(E8&lt;-0.02,"Negative Asia handoff","Flat Asia handoff"))</x:f>
        <x:v>Flat Asia handoff</x:v>
      </x:c>
    </x:row>
    <x:row r="9">
      <x:c r="A9" s="46" t="n">
        <x:f>Synthetic_Raw!A10</x:f>
        <x:v>46174</x:v>
      </x:c>
      <x:c r="B9" s="48" t="n">
        <x:f>(Synthetic_Raw!J10/Synthetic_Raw!J9)-1</x:f>
        <x:v>0.015669515671022927</x:v>
      </x:c>
      <x:c r="C9" s="48" t="n">
        <x:f>(Synthetic_Raw!K10/Synthetic_Raw!K9)-1</x:f>
        <x:v>0.01206203330010247</x:v>
      </x:c>
      <x:c r="D9" s="48" t="n">
        <x:f>(Synthetic_Raw!L10/Synthetic_Raw!L9)-1</x:f>
        <x:v>0.014409221983801457</x:v>
      </x:c>
      <x:c r="E9" s="52" t="n">
        <x:f>0.35*B9+0.30*C9+0.35*D9</x:f>
        <x:v>0.014146168169219275</x:v>
      </x:c>
      <x:c r="F9" s="48" t="n">
        <x:f>Synthetic_Raw!T10</x:f>
        <x:v>0.61</x:v>
      </x:c>
      <x:c r="G9" s="48" t="n">
        <x:f>Synthetic_Raw!U10</x:f>
        <x:v>0.64</x:v>
      </x:c>
      <x:c r="H9" s="48" t="n">
        <x:f>Synthetic_Raw!V10</x:f>
        <x:v>0.66</x:v>
      </x:c>
      <x:c r="I9" s="48" t="n">
        <x:f>1-AVERAGE(F9:H9)</x:f>
        <x:v>0.3633333333333333</x:v>
      </x:c>
      <x:c r="J9" s="5" t="str">
        <x:f>IF(E9&gt;0.02,"Positive Asia handoff",IF(E9&lt;-0.02,"Negative Asia handoff","Flat Asia handoff"))</x:f>
        <x:v>Flat Asia handoff</x:v>
      </x:c>
    </x:row>
    <x:row r="10">
      <x:c r="A10" s="46" t="n">
        <x:f>Synthetic_Raw!A11</x:f>
        <x:v>46204</x:v>
      </x:c>
      <x:c r="B10" s="48" t="n">
        <x:f>(Synthetic_Raw!J11/Synthetic_Raw!J10)-1</x:f>
        <x:v>0.015427769987435669</x:v>
      </x:c>
      <x:c r="C10" s="48" t="n">
        <x:f>(Synthetic_Raw!K11/Synthetic_Raw!K10)-1</x:f>
        <x:v>0.015891032911192093</x:v>
      </x:c>
      <x:c r="D10" s="48" t="n">
        <x:f>(Synthetic_Raw!L11/Synthetic_Raw!L10)-1</x:f>
        <x:v>0.02272727262130325</x:v>
      </x:c>
      <x:c r="E10" s="52" t="n">
        <x:f>0.35*B10+0.30*C10+0.35*D10</x:f>
        <x:v>0.018121574786416246</x:v>
      </x:c>
      <x:c r="F10" s="48" t="n">
        <x:f>Synthetic_Raw!T11</x:f>
        <x:v>0.63</x:v>
      </x:c>
      <x:c r="G10" s="48" t="n">
        <x:f>Synthetic_Raw!U11</x:f>
        <x:v>0.67</x:v>
      </x:c>
      <x:c r="H10" s="48" t="n">
        <x:f>Synthetic_Raw!V11</x:f>
        <x:v>0.69</x:v>
      </x:c>
      <x:c r="I10" s="48" t="n">
        <x:f>1-AVERAGE(F10:H10)</x:f>
        <x:v>0.33666666666666667</x:v>
      </x:c>
      <x:c r="J10" s="5" t="str">
        <x:f>IF(E10&gt;0.02,"Positive Asia handoff",IF(E10&lt;-0.02,"Negative Asia handoff","Flat Asia handoff"))</x:f>
        <x:v>Flat Asia handoff</x:v>
      </x:c>
    </x:row>
    <x:row r="11">
      <x:c r="A11" s="46" t="n">
        <x:f>Synthetic_Raw!A12</x:f>
        <x:v>46235</x:v>
      </x:c>
      <x:c r="B11" s="48" t="n">
        <x:f>(Synthetic_Raw!J12/Synthetic_Raw!J11)-1</x:f>
        <x:v>0.011049723760994334</x:v>
      </x:c>
      <x:c r="C11" s="48" t="n">
        <x:f>(Synthetic_Raw!K12/Synthetic_Raw!K11)-1</x:f>
        <x:v>0.012290502796606706</x:v>
      </x:c>
      <x:c r="D11" s="48" t="n">
        <x:f>(Synthetic_Raw!L12/Synthetic_Raw!L11)-1</x:f>
        <x:v>0.015277777731870668</x:v>
      </x:c>
      <x:c r="E11" s="52" t="n">
        <x:f>0.35*B11+0.30*C11+0.35*D11</x:f>
        <x:v>0.012901776361484762</x:v>
      </x:c>
      <x:c r="F11" s="48" t="n">
        <x:f>Synthetic_Raw!T12</x:f>
        <x:v>0.64</x:v>
      </x:c>
      <x:c r="G11" s="48" t="n">
        <x:f>Synthetic_Raw!U12</x:f>
        <x:v>0.68</x:v>
      </x:c>
      <x:c r="H11" s="48" t="n">
        <x:f>Synthetic_Raw!V12</x:f>
        <x:v>0.7</x:v>
      </x:c>
      <x:c r="I11" s="48" t="n">
        <x:f>1-AVERAGE(F11:H11)</x:f>
        <x:v>0.32666666666666666</x:v>
      </x:c>
      <x:c r="J11" s="5" t="str">
        <x:f>IF(E11&gt;0.02,"Positive Asia handoff",IF(E11&lt;-0.02,"Negative Asia handoff","Flat Asia handoff"))</x:f>
        <x:v>Flat Asia handoff</x:v>
      </x:c>
    </x:row>
    <x:row r="12">
      <x:c r="A12" s="46" t="n">
        <x:f>Synthetic_Raw!A13</x:f>
        <x:v>46266</x:v>
      </x:c>
      <x:c r="B12" s="48" t="n">
        <x:f>(Synthetic_Raw!J13/Synthetic_Raw!J12)-1</x:f>
        <x:v>-0.01775956285218727</x:v>
      </x:c>
      <x:c r="C12" s="48" t="n">
        <x:f>(Synthetic_Raw!K13/Synthetic_Raw!K12)-1</x:f>
        <x:v>-0.020419426047428302</x:v>
      </x:c>
      <x:c r="D12" s="48" t="n">
        <x:f>(Synthetic_Raw!L13/Synthetic_Raw!L12)-1</x:f>
        <x:v>-0.02051983567852722</x:v>
      </x:c>
      <x:c r="E12" s="52" t="n">
        <x:f>0.35*B12+0.30*C12+0.35*D12</x:f>
        <x:v>-0.019523617299978563</x:v>
      </x:c>
      <x:c r="F12" s="48" t="n">
        <x:f>Synthetic_Raw!T13</x:f>
        <x:v>0.51</x:v>
      </x:c>
      <x:c r="G12" s="48" t="n">
        <x:f>Synthetic_Raw!U13</x:f>
        <x:v>0.52</x:v>
      </x:c>
      <x:c r="H12" s="48" t="n">
        <x:f>Synthetic_Raw!V13</x:f>
        <x:v>0.54</x:v>
      </x:c>
      <x:c r="I12" s="48" t="n">
        <x:f>1-AVERAGE(F12:H12)</x:f>
        <x:v>0.4766666666666667</x:v>
      </x:c>
      <x:c r="J12" s="5" t="str">
        <x:f>IF(E12&gt;0.02,"Positive Asia handoff",IF(E12&lt;-0.02,"Negative Asia handoff","Flat Asia handoff"))</x:f>
        <x:v>Flat Asia handoff</x:v>
      </x:c>
    </x:row>
    <x:row r="13">
      <x:c r="A13" s="46" t="n">
        <x:f>Synthetic_Raw!A14</x:f>
        <x:v>46296</x:v>
      </x:c>
      <x:c r="B13" s="48" t="n">
        <x:f>(Synthetic_Raw!J14/Synthetic_Raw!J13)-1</x:f>
        <x:v>0.02920723226534183</x:v>
      </x:c>
      <x:c r="C13" s="48" t="n">
        <x:f>(Synthetic_Raw!K14/Synthetic_Raw!K13)-1</x:f>
        <x:v>0.03436619718214251</x:v>
      </x:c>
      <x:c r="D13" s="48" t="n">
        <x:f>(Synthetic_Raw!L14/Synthetic_Raw!L13)-1</x:f>
        <x:v>0.03631284913533217</x:v>
      </x:c>
      <x:c r="E13" s="52" t="n">
        <x:f>0.35*B13+0.30*C13+0.35*D13</x:f>
        <x:v>0.03324188764487865</x:v>
      </x:c>
      <x:c r="F13" s="48" t="n">
        <x:f>Synthetic_Raw!T14</x:f>
        <x:v>0.62</x:v>
      </x:c>
      <x:c r="G13" s="48" t="n">
        <x:f>Synthetic_Raw!U14</x:f>
        <x:v>0.66</x:v>
      </x:c>
      <x:c r="H13" s="48" t="n">
        <x:f>Synthetic_Raw!V14</x:f>
        <x:v>0.68</x:v>
      </x:c>
      <x:c r="I13" s="48" t="n">
        <x:f>1-AVERAGE(F13:H13)</x:f>
        <x:v>0.3466666666666667</x:v>
      </x:c>
      <x:c r="J13" s="5" t="str">
        <x:f>IF(E13&gt;0.02,"Positive Asia handoff",IF(E13&lt;-0.02,"Negative Asia handoff","Flat Asia handoff"))</x:f>
        <x:v>Positive Asia handoff</x:v>
      </x:c>
    </x:row>
    <x:row r="14">
      <x:c r="A14" s="46" t="n">
        <x:f>Synthetic_Raw!A15</x:f>
        <x:v>46327</x:v>
      </x:c>
      <x:c r="B14" s="48" t="n">
        <x:f>(Synthetic_Raw!J15/Synthetic_Raw!J14)-1</x:f>
        <x:v>0.017567567578329113</x:v>
      </x:c>
      <x:c r="C14" s="48" t="n">
        <x:f>(Synthetic_Raw!K15/Synthetic_Raw!K14)-1</x:f>
        <x:v>0.015250544692301027</x:v>
      </x:c>
      <x:c r="D14" s="48" t="n">
        <x:f>(Synthetic_Raw!L15/Synthetic_Raw!L14)-1</x:f>
        <x:v>0.01886792448656749</x:v>
      </x:c>
      <x:c r="E14" s="52" t="n">
        <x:f>0.35*B14+0.30*C14+0.35*D14</x:f>
        <x:v>0.017327585630404117</x:v>
      </x:c>
      <x:c r="F14" s="48" t="n">
        <x:f>Synthetic_Raw!T15</x:f>
        <x:v>0.64</x:v>
      </x:c>
      <x:c r="G14" s="48" t="n">
        <x:f>Synthetic_Raw!U15</x:f>
        <x:v>0.68</x:v>
      </x:c>
      <x:c r="H14" s="48" t="n">
        <x:f>Synthetic_Raw!V15</x:f>
        <x:v>0.7</x:v>
      </x:c>
      <x:c r="I14" s="48" t="n">
        <x:f>1-AVERAGE(F14:H14)</x:f>
        <x:v>0.32666666666666666</x:v>
      </x:c>
      <x:c r="J14" s="5" t="str">
        <x:f>IF(E14&gt;0.02,"Positive Asia handoff",IF(E14&lt;-0.02,"Negative Asia handoff","Flat Asia handoff"))</x:f>
        <x:v>Flat Asia handoff</x:v>
      </x:c>
    </x:row>
    <x:row r="15">
      <x:c r="A15" s="46" t="n">
        <x:f>Synthetic_Raw!A16</x:f>
        <x:v>46357</x:v>
      </x:c>
      <x:c r="B15" s="48" t="n">
        <x:f>(Synthetic_Raw!J16/Synthetic_Raw!J15)-1</x:f>
        <x:v>0.014608233733071074</x:v>
      </x:c>
      <x:c r="C15" s="48" t="n">
        <x:f>(Synthetic_Raw!K16/Synthetic_Raw!K15)-1</x:f>
        <x:v>0.015021459221437272</x:v>
      </x:c>
      <x:c r="D15" s="48" t="n">
        <x:f>(Synthetic_Raw!L16/Synthetic_Raw!L15)-1</x:f>
        <x:v>0.015873015890245812</x:v>
      </x:c>
      <x:c r="E15" s="52" t="n">
        <x:f>0.35*B15+0.30*C15+0.35*D15</x:f>
        <x:v>0.015174875134592092</x:v>
      </x:c>
      <x:c r="F15" s="48" t="n">
        <x:f>Synthetic_Raw!T16</x:f>
        <x:v>0.66</x:v>
      </x:c>
      <x:c r="G15" s="48" t="n">
        <x:f>Synthetic_Raw!U16</x:f>
        <x:v>0.7</x:v>
      </x:c>
      <x:c r="H15" s="48" t="n">
        <x:f>Synthetic_Raw!V16</x:f>
        <x:v>0.72</x:v>
      </x:c>
      <x:c r="I15" s="48" t="n">
        <x:f>1-AVERAGE(F15:H15)</x:f>
        <x:v>0.30666666666666664</x:v>
      </x:c>
      <x:c r="J15" s="5" t="str">
        <x:f>IF(E15&gt;0.02,"Positive Asia handoff",IF(E15&lt;-0.02,"Negative Asia handoff","Flat Asia handoff"))</x:f>
        <x:v>Flat Asia handoff</x:v>
      </x:c>
    </x:row>
  </x:sheetData>
  <x:mergeCells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4" customWidth="1"/>
    <x:col min="3" max="3" width="28" customWidth="1"/>
    <x:col min="4" max="4" width="28" customWidth="1"/>
    <x:col min="5" max="5" width="20" customWidth="1"/>
    <x:col min="6" max="6" width="20" customWidth="1"/>
    <x:col min="7" max="7" width="22" customWidth="1"/>
  </x:cols>
  <x:sheetData>
    <x:row r="1">
      <x:c r="A1" s="1" t="inlineStr">
        <x:is>
          <x:t xml:space="preserve">Test Use Cases &amp; Expected Behaviour</x:t>
        </x:is>
      </x:c>
    </x:row>
    <x:row r="3">
      <x:c r="A3" s="15" t="inlineStr">
        <x:is>
          <x:t xml:space="preserve">Scenario</x:t>
        </x:is>
      </x:c>
      <x:c r="B3" s="15" t="inlineStr">
        <x:is>
          <x:t xml:space="preserve">What it is testing</x:t>
        </x:is>
      </x:c>
      <x:c r="C3" s="15" t="inlineStr">
        <x:is>
          <x:t xml:space="preserve">Primary tabs to inspect</x:t>
        </x:is>
      </x:c>
      <x:c r="D3" s="15" t="inlineStr">
        <x:is>
          <x:t xml:space="preserve">Expected desk behaviour</x:t>
        </x:is>
      </x:c>
      <x:c r="E3" s="15" t="inlineStr">
        <x:is>
          <x:t xml:space="preserve">Likely vetoes</x:t>
        </x:is>
      </x:c>
      <x:c r="F3" s="15" t="inlineStr">
        <x:is>
          <x:t xml:space="preserve">Likely module interest</x:t>
        </x:is>
      </x:c>
      <x:c r="G3" s="15" t="inlineStr">
        <x:is>
          <x:t xml:space="preserve">Pass criterion</x:t>
        </x:is>
      </x:c>
    </x:row>
    <x:row r="4">
      <x:c r="A4" s="21" t="inlineStr">
        <x:is>
          <x:t xml:space="preserve">Baseline</x:t>
        </x:is>
      </x:c>
      <x:c r="B4" s="21" t="inlineStr">
        <x:is>
          <x:t xml:space="preserve">Normal beta, moderate vol, neutral options pressure</x:t>
        </x:is>
      </x:c>
      <x:c r="C4" s="21" t="inlineStr">
        <x:is>
          <x:t xml:space="preserve">Derived_Beta_Leadership; Derived_Execution_Options</x:t>
        </x:is>
      </x:c>
      <x:c r="D4" s="21" t="inlineStr">
        <x:is>
          <x:t xml:space="preserve">Modules should behave normally without over-firing risk blocks</x:t>
        </x:is>
      </x:c>
      <x:c r="E4" s="21" t="inlineStr">
        <x:is>
          <x:t xml:space="preserve">Few / none</x:t>
        </x:is>
      </x:c>
      <x:c r="F4" s="21" t="inlineStr">
        <x:is>
          <x:t xml:space="preserve">Carry and SLV should both remain evaluable</x:t>
        </x:is>
      </x:c>
      <x:c r="G4" s="21" t="inlineStr">
        <x:is>
          <x:t xml:space="preserve">No accidental veto cascade</x:t>
        </x:is>
      </x:c>
    </x:row>
    <x:row r="5">
      <x:c r="A5" s="21" t="inlineStr">
        <x:is>
          <x:t xml:space="preserve">Stress</x:t>
        </x:is>
      </x:c>
      <x:c r="B5" s="21" t="inlineStr">
        <x:is>
          <x:t xml:space="preserve">Rates up, vol up, weaker breadth, negative dealer gamma shift</x:t>
        </x:is>
      </x:c>
      <x:c r="C5" s="21" t="inlineStr">
        <x:is>
          <x:t xml:space="preserve">Derived_Vol_Rates_FX; Derived_Asia_Breadth</x:t>
        </x:is>
      </x:c>
      <x:c r="D5" s="21" t="inlineStr">
        <x:is>
          <x:t xml:space="preserve">Risk should de-gear, macro vetoes should appear, squeeze logic should not masquerade as opportunity</x:t>
        </x:is>
      </x:c>
      <x:c r="E5" s="21" t="inlineStr">
        <x:is>
          <x:t xml:space="preserve">Macro veto, weak breadth, execution caution</x:t>
        </x:is>
      </x:c>
      <x:c r="F5" s="21" t="inlineStr">
        <x:is>
          <x:t xml:space="preserve">Risk gateway and carry block logic</x:t>
        </x:is>
      </x:c>
      <x:c r="G5" s="21" t="inlineStr">
        <x:is>
          <x:t xml:space="preserve">Stress state clearly differentiated from baseline</x:t>
        </x:is>
      </x:c>
    </x:row>
    <x:row r="6">
      <x:c r="A6" s="21" t="inlineStr">
        <x:is>
          <x:t xml:space="preserve">Squeeze</x:t>
        </x:is>
      </x:c>
      <x:c r="B6" s="21" t="inlineStr">
        <x:is>
          <x:t xml:space="preserve">Positive beta, semis leadership, positive flow imbalance, strong gamma concentration</x:t>
        </x:is>
      </x:c>
      <x:c r="C6" s="21" t="inlineStr">
        <x:is>
          <x:t xml:space="preserve">Derived_Execution_Options; Derived_Beta_Leadership</x:t>
        </x:is>
      </x:c>
      <x:c r="D6" s="21" t="inlineStr">
        <x:is>
          <x:t xml:space="preserve">Squeeze proxy should rise while breadth and leadership stay supportive</x:t>
        </x:is>
      </x:c>
      <x:c r="E6" s="21" t="inlineStr">
        <x:is>
          <x:t xml:space="preserve">Only if vol or event flag breaks thresholds</x:t>
        </x:is>
      </x:c>
      <x:c r="F6" s="21" t="inlineStr">
        <x:is>
          <x:t xml:space="preserve">SLV / event-driven squeeze testing</x:t>
        </x:is>
      </x:c>
      <x:c r="G6" s="21" t="inlineStr">
        <x:is>
          <x:t xml:space="preserve">Squeeze regime scores higher than baseline and stress</x:t>
        </x:is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42" customWidth="1"/>
    <x:col min="3" max="3" width="42" customWidth="1"/>
    <x:col min="4" max="4" width="16" customWidth="1"/>
    <x:col min="5" max="5" width="18" customWidth="1"/>
    <x:col min="6" max="6" width="18" customWidth="1"/>
    <x:col min="7" max="7" width="18" customWidth="1"/>
    <x:col min="8" max="8" width="28" customWidth="1"/>
    <x:col min="9" max="9" width="10" customWidth="1"/>
    <x:col min="10" max="10" width="34" customWidth="1"/>
    <x:col min="11" max="11" width="18" customWidth="1"/>
    <x:col min="12" max="12" width="18" customWidth="1"/>
  </x:cols>
  <x:sheetData>
    <x:row r="1" ht="24" customHeight="1">
      <x:c r="A1" s="1" t="inlineStr">
        <x:is>
          <x:t xml:space="preserve">Temporal Step1 Framework — “Where are we now?”</x:t>
        </x:is>
      </x:c>
    </x:row>
    <x:row r="2" ht="36" customHeight="1">
      <x:c r="A2" s="69" t="inlineStr">
        <x:is>
          <x:t xml:space="preserve">Purpose: define Step 1 as its own deterministic layer using calendar/clock plus primitive intraday observables only; no Step 2/3 leakage.</x:t>
        </x:is>
      </x:c>
    </x:row>
    <x:row r="4" ht="24" customHeight="1">
      <x:c r="A4" s="1" t="inlineStr">
        <x:is>
          <x:t xml:space="preserve">Architecture guardrails</x:t>
        </x:is>
      </x:c>
      <x:c r="H4" s="1" t="inlineStr">
        <x:is>
          <x:t xml:space="preserve">Candidate threshold controls (editable blue inputs for workbook testing)</x:t>
        </x:is>
      </x:c>
    </x:row>
    <x:row r="5">
      <x:c r="A5" s="15" t="inlineStr">
        <x:is>
          <x:t xml:space="preserve">Rule_ID</x:t>
        </x:is>
      </x:c>
      <x:c r="B5" s="15" t="inlineStr">
        <x:is>
          <x:t xml:space="preserve">Rule</x:t>
        </x:is>
      </x:c>
      <x:c r="C5" s="15" t="inlineStr">
        <x:is>
          <x:t xml:space="preserve">Why</x:t>
        </x:is>
      </x:c>
      <x:c r="D5" s="15" t="inlineStr">
        <x:is>
          <x:t xml:space="preserve">Dependency policy</x:t>
        </x:is>
      </x:c>
      <x:c r="E5" s="15" t="inlineStr">
        <x:is>
          <x:t xml:space="preserve">Practical consequence</x:t>
        </x:is>
      </x:c>
      <x:c r="F5" s="15" t="inlineStr">
        <x:is>
          <x:t xml:space="preserve">Status</x:t>
        </x:is>
      </x:c>
      <x:c r="H5" s="15" t="inlineStr">
        <x:is>
          <x:t xml:space="preserve">Threshold</x:t>
        </x:is>
      </x:c>
      <x:c r="I5" s="15" t="inlineStr">
        <x:is>
          <x:t xml:space="preserve">Value</x:t>
        </x:is>
      </x:c>
      <x:c r="J5" s="15" t="inlineStr">
        <x:is>
          <x:t xml:space="preserve">Meaning</x:t>
        </x:is>
      </x:c>
    </x:row>
    <x:row r="6" ht="36" customHeight="1">
      <x:c r="A6" s="20" t="inlineStr">
        <x:is>
          <x:t xml:space="preserve">G01</x:t>
        </x:is>
      </x:c>
      <x:c r="B6" s="20" t="inlineStr">
        <x:is>
          <x:t xml:space="preserve">Keep clock envelope separate from behavioural phase.</x:t>
        </x:is>
      </x:c>
      <x:c r="C6" s="20" t="inlineStr">
        <x:is>
          <x:t xml:space="preserve">The clock says what is plausible; the tape says what is actually happening.</x:t>
        </x:is>
      </x:c>
      <x:c r="D6" s="20" t="inlineStr">
        <x:is>
          <x:t xml:space="preserve">Allowed</x:t>
        </x:is>
      </x:c>
      <x:c r="E6" s="20" t="inlineStr">
        <x:is>
          <x:t xml:space="preserve">Preserve both fields in Step 1 outputs.</x:t>
        </x:is>
      </x:c>
      <x:c r="F6" s="20" t="inlineStr">
        <x:is>
          <x:t xml:space="preserve">Adopted</x:t>
        </x:is>
      </x:c>
      <x:c r="H6" s="63" t="inlineStr">
        <x:is>
          <x:t xml:space="preserve">open_disorder_relvol_min</x:t>
        </x:is>
      </x:c>
      <x:c r="I6" s="64" t="n">
        <x:v>1.4</x:v>
      </x:c>
      <x:c r="J6" s="63" t="inlineStr">
        <x:is>
          <x:t xml:space="preserve">RelVol threshold for unresolved open behaviour</x:t>
        </x:is>
      </x:c>
    </x:row>
    <x:row r="7" ht="36" customHeight="1">
      <x:c r="A7" s="20" t="inlineStr">
        <x:is>
          <x:t xml:space="preserve">G02</x:t>
        </x:is>
      </x:c>
      <x:c r="B7" s="20" t="inlineStr">
        <x:is>
          <x:t xml:space="preserve">Step 1 may consume only primitive observables.</x:t>
        </x:is>
      </x:c>
      <x:c r="C7" s="20" t="inlineStr">
        <x:is>
          <x:t xml:space="preserve">Prevents loops and double-counting.</x:t>
        </x:is>
      </x:c>
      <x:c r="D7" s="20" t="inlineStr">
        <x:is>
          <x:t xml:space="preserve">Allowed</x:t>
        </x:is>
      </x:c>
      <x:c r="E7" s="20" t="inlineStr">
        <x:is>
          <x:t xml:space="preserve">Use timestamps, price, volume, VWAP, opening range, realised vol, event/expiry timestamps.</x:t>
        </x:is>
      </x:c>
      <x:c r="F7" s="20" t="inlineStr">
        <x:is>
          <x:t xml:space="preserve">Adopted</x:t>
        </x:is>
      </x:c>
      <x:c r="H7" s="63" t="inlineStr">
        <x:is>
          <x:t xml:space="preserve">open_disorder_rv5_bps_min</x:t>
        </x:is>
      </x:c>
      <x:c r="I7" s="65" t="n">
        <x:v>80</x:v>
      </x:c>
      <x:c r="J7" s="63" t="inlineStr">
        <x:is>
          <x:t xml:space="preserve">5-minute realised-vol threshold for open disorder</x:t>
        </x:is>
      </x:c>
    </x:row>
    <x:row r="8" ht="36" customHeight="1">
      <x:c r="A8" s="20" t="inlineStr">
        <x:is>
          <x:t xml:space="preserve">G03</x:t>
        </x:is>
      </x:c>
      <x:c r="B8" s="20" t="inlineStr">
        <x:is>
          <x:t xml:space="preserve">Step 1 may not consume later-step derived outputs.</x:t>
        </x:is>
      </x:c>
      <x:c r="C8" s="20" t="inlineStr">
        <x:is>
          <x:t xml:space="preserve">Market regime / options / posture outputs would contaminate first-pass cognition.</x:t>
        </x:is>
      </x:c>
      <x:c r="D8" s="20" t="inlineStr">
        <x:is>
          <x:t xml:space="preserve">Blocked</x:t>
        </x:is>
      </x:c>
      <x:c r="E8" s="20" t="inlineStr">
        <x:is>
          <x:t xml:space="preserve">Do not read breadth scores, gamma pressure scores, risk vetoes, or playbook eligibility.</x:t>
        </x:is>
      </x:c>
      <x:c r="F8" s="20" t="inlineStr">
        <x:is>
          <x:t xml:space="preserve">Hard rule</x:t>
        </x:is>
      </x:c>
      <x:c r="H8" s="63" t="inlineStr">
        <x:is>
          <x:t xml:space="preserve">open_disorder_vwap_dist_bps_min</x:t>
        </x:is>
      </x:c>
      <x:c r="I8" s="65" t="n">
        <x:v>60</x:v>
      </x:c>
      <x:c r="J8" s="63" t="inlineStr">
        <x:is>
          <x:t xml:space="preserve">VWAP-extension threshold for open disorder</x:t>
        </x:is>
      </x:c>
    </x:row>
    <x:row r="9" ht="36" customHeight="1">
      <x:c r="A9" s="20" t="inlineStr">
        <x:is>
          <x:t xml:space="preserve">G04</x:t>
        </x:is>
      </x:c>
      <x:c r="B9" s="20" t="inlineStr">
        <x:is>
          <x:t xml:space="preserve">Shared primitives can be reused later.</x:t>
        </x:is>
      </x:c>
      <x:c r="C9" s="20" t="inlineStr">
        <x:is>
          <x:t xml:space="preserve">Reuse is fine; recursion is not.</x:t>
        </x:is>
      </x:c>
      <x:c r="D9" s="20" t="inlineStr">
        <x:is>
          <x:t xml:space="preserve">Allowed</x:t>
        </x:is>
      </x:c>
      <x:c r="E9" s="20" t="inlineStr">
        <x:is>
          <x:t xml:space="preserve">If later modules want VWAP or relative volume, they can compute from the same primitives.</x:t>
        </x:is>
      </x:c>
      <x:c r="F9" s="20" t="inlineStr">
        <x:is>
          <x:t xml:space="preserve">Adopted</x:t>
        </x:is>
      </x:c>
      <x:c r="H9" s="63" t="inlineStr">
        <x:is>
          <x:t xml:space="preserve">anchor_vwap_dist_bps_max</x:t>
        </x:is>
      </x:c>
      <x:c r="I9" s="65" t="n">
        <x:v>35</x:v>
      </x:c>
      <x:c r="J9" s="63" t="inlineStr">
        <x:is>
          <x:t xml:space="preserve">Max VWAP distance for early anchoring</x:t>
        </x:is>
      </x:c>
    </x:row>
    <x:row r="10" ht="36" customHeight="1">
      <x:c r="A10" s="20" t="inlineStr">
        <x:is>
          <x:t xml:space="preserve">G05</x:t>
        </x:is>
      </x:c>
      <x:c r="B10" s="20" t="inlineStr">
        <x:is>
          <x:t xml:space="preserve">If later logic needs similar helpers, duplicate or refactor at the primitive level.</x:t>
        </x:is>
      </x:c>
      <x:c r="C10" s="20" t="inlineStr">
        <x:is>
          <x:t xml:space="preserve">Prevents Step 1 from depending on downstream verdicts.</x:t>
        </x:is>
      </x:c>
      <x:c r="D10" s="20" t="inlineStr">
        <x:is>
          <x:t xml:space="preserve">Allowed</x:t>
        </x:is>
      </x:c>
      <x:c r="E10" s="20" t="inlineStr">
        <x:is>
          <x:t xml:space="preserve">Duplicate helper logic rather than importing downstream state.</x:t>
        </x:is>
      </x:c>
      <x:c r="F10" s="20" t="inlineStr">
        <x:is>
          <x:t xml:space="preserve">Adopted</x:t>
        </x:is>
      </x:c>
      <x:c r="H10" s="63" t="inlineStr">
        <x:is>
          <x:t xml:space="preserve">anchor_rv5_bps_max</x:t>
        </x:is>
      </x:c>
      <x:c r="I10" s="65" t="n">
        <x:v>60</x:v>
      </x:c>
      <x:c r="J10" s="63" t="inlineStr">
        <x:is>
          <x:t xml:space="preserve">Max 5-minute RV for early anchoring</x:t>
        </x:is>
      </x:c>
    </x:row>
    <x:row r="11" ht="36" customHeight="1">
      <x:c r="A11" s="20" t="inlineStr">
        <x:is>
          <x:t xml:space="preserve">G06</x:t>
        </x:is>
      </x:c>
      <x:c r="B11" s="20" t="inlineStr">
        <x:is>
          <x:t xml:space="preserve">Target replay cadence is 30 seconds; 1 minute is fallback.</x:t>
        </x:is>
      </x:c>
      <x:c r="C11" s="20" t="inlineStr">
        <x:is>
          <x:t xml:space="preserve">The design should be granular enough for real historical replay.</x:t>
        </x:is>
      </x:c>
      <x:c r="D11" s="20" t="inlineStr">
        <x:is>
          <x:t xml:space="preserve">Allowed</x:t>
        </x:is>
      </x:c>
      <x:c r="E11" s="20" t="inlineStr">
        <x:is>
          <x:t xml:space="preserve">Capture primitives at 30s buckets and derive rolling windows from them.</x:t>
        </x:is>
      </x:c>
      <x:c r="F11" s="20" t="inlineStr">
        <x:is>
          <x:t xml:space="preserve">Adopted</x:t>
        </x:is>
      </x:c>
      <x:c r="H11" s="63" t="inlineStr">
        <x:is>
          <x:t xml:space="preserve">anchor_relvol_min</x:t>
        </x:is>
      </x:c>
      <x:c r="I11" s="64" t="n">
        <x:v>0.9</x:v>
      </x:c>
      <x:c r="J11" s="63" t="inlineStr">
        <x:is>
          <x:t xml:space="preserve">Min RelVol for early anchoring</x:t>
        </x:is>
      </x:c>
    </x:row>
    <x:row r="12">
      <x:c r="H12" s="63" t="inlineStr">
        <x:is>
          <x:t xml:space="preserve">anchor_relvol_max</x:t>
        </x:is>
      </x:c>
      <x:c r="I12" s="64" t="n">
        <x:v>1.4</x:v>
      </x:c>
      <x:c r="J12" s="63" t="inlineStr">
        <x:is>
          <x:t xml:space="preserve">Max RelVol for early anchoring</x:t>
        </x:is>
      </x:c>
    </x:row>
    <x:row r="13">
      <x:c r="H13" s="63" t="inlineStr">
        <x:is>
          <x:t xml:space="preserve">anchor_impulse_age_min</x:t>
        </x:is>
      </x:c>
      <x:c r="I13" s="65" t="n">
        <x:v>5</x:v>
      </x:c>
      <x:c r="J13" s="63" t="inlineStr">
        <x:is>
          <x:t xml:space="preserve">Minimum minutes since last impulse for anchoring</x:t>
        </x:is>
      </x:c>
    </x:row>
    <x:row r="14">
      <x:c r="H14" s="63" t="inlineStr">
        <x:is>
          <x:t xml:space="preserve">compression_rv5_bps_max</x:t>
        </x:is>
      </x:c>
      <x:c r="I14" s="65" t="n">
        <x:v>35</x:v>
      </x:c>
      <x:c r="J14" s="63" t="inlineStr">
        <x:is>
          <x:t xml:space="preserve">Max RV5 for midday compression</x:t>
        </x:is>
      </x:c>
    </x:row>
    <x:row r="15">
      <x:c r="H15" s="63" t="inlineStr">
        <x:is>
          <x:t xml:space="preserve">compression_range5_bps_max</x:t>
        </x:is>
      </x:c>
      <x:c r="I15" s="65" t="n">
        <x:v>40</x:v>
      </x:c>
      <x:c r="J15" s="63" t="inlineStr">
        <x:is>
          <x:t xml:space="preserve">Max 5-minute range for midday compression</x:t>
        </x:is>
      </x:c>
    </x:row>
    <x:row r="16">
      <x:c r="H16" s="63" t="inlineStr">
        <x:is>
          <x:t xml:space="preserve">compression_vwap_dist_bps_max</x:t>
        </x:is>
      </x:c>
      <x:c r="I16" s="65" t="n">
        <x:v>25</x:v>
      </x:c>
      <x:c r="J16" s="63" t="inlineStr">
        <x:is>
          <x:t xml:space="preserve">Max VWAP distance for midday compression</x:t>
        </x:is>
      </x:c>
    </x:row>
    <x:row r="17">
      <x:c r="H17" s="63" t="inlineStr">
        <x:is>
          <x:t xml:space="preserve">compression_relvol_max</x:t>
        </x:is>
      </x:c>
      <x:c r="I17" s="64" t="n">
        <x:v>0.9</x:v>
      </x:c>
      <x:c r="J17" s="63" t="inlineStr">
        <x:is>
          <x:t xml:space="preserve">Max RelVol for midday compression</x:t>
        </x:is>
      </x:c>
    </x:row>
    <x:row r="18">
      <x:c r="H18" s="63" t="inlineStr">
        <x:is>
          <x:t xml:space="preserve">trend_vwap_slope_bps_min</x:t>
        </x:is>
      </x:c>
      <x:c r="I18" s="65" t="n">
        <x:v>15</x:v>
      </x:c>
      <x:c r="J18" s="63" t="inlineStr">
        <x:is>
          <x:t xml:space="preserve">Min VWAP slope magnitude for trend persistence</x:t>
        </x:is>
      </x:c>
    </x:row>
    <x:row r="19">
      <x:c r="H19" s="63" t="inlineStr">
        <x:is>
          <x:t xml:space="preserve">trend_vwap_dist_bps_min</x:t>
        </x:is>
      </x:c>
      <x:c r="I19" s="65" t="n">
        <x:v>30</x:v>
      </x:c>
      <x:c r="J19" s="63" t="inlineStr">
        <x:is>
          <x:t xml:space="preserve">Min VWAP distance magnitude for trend persistence</x:t>
        </x:is>
      </x:c>
    </x:row>
    <x:row r="20">
      <x:c r="H20" s="63" t="inlineStr">
        <x:is>
          <x:t xml:space="preserve">trend_relvol_min</x:t>
        </x:is>
      </x:c>
      <x:c r="I20" s="64" t="n">
        <x:v>1.05</x:v>
      </x:c>
      <x:c r="J20" s="63" t="inlineStr">
        <x:is>
          <x:t xml:space="preserve">Min RelVol for trend persistence</x:t>
        </x:is>
      </x:c>
    </x:row>
    <x:row r="21">
      <x:c r="H21" s="63" t="inlineStr">
        <x:is>
          <x:t xml:space="preserve">trend_impulse_age_max</x:t>
        </x:is>
      </x:c>
      <x:c r="I21" s="65" t="n">
        <x:v>5</x:v>
      </x:c>
      <x:c r="J21" s="63" t="inlineStr">
        <x:is>
          <x:t xml:space="preserve">Max minutes since impulse for trend persistence</x:t>
        </x:is>
      </x:c>
    </x:row>
    <x:row r="22">
      <x:c r="H22" s="63" t="inlineStr">
        <x:is>
          <x:t xml:space="preserve">power_hour_window_min</x:t>
        </x:is>
      </x:c>
      <x:c r="I22" s="65" t="n">
        <x:v>60</x:v>
      </x:c>
      <x:c r="J22" s="63" t="inlineStr">
        <x:is>
          <x:t xml:space="preserve">Minutes-to-close threshold for power hour</x:t>
        </x:is>
      </x:c>
    </x:row>
    <x:row r="23">
      <x:c r="H23" s="63" t="inlineStr">
        <x:is>
          <x:t xml:space="preserve">unwind_window_min</x:t>
        </x:is>
      </x:c>
      <x:c r="I23" s="65" t="n">
        <x:v>30</x:v>
      </x:c>
      <x:c r="J23" s="63" t="inlineStr">
        <x:is>
          <x:t xml:space="preserve">Minutes-to-close threshold for dealer unwind close</x:t>
        </x:is>
      </x:c>
    </x:row>
    <x:row r="26" ht="24" customHeight="1">
      <x:c r="A26" s="1" t="inlineStr">
        <x:is>
          <x:t xml:space="preserve">Step 1 primitive input contract (30-second target cadence)</x:t>
        </x:is>
      </x:c>
    </x:row>
    <x:row r="27">
      <x:c r="A27" s="15" t="inlineStr">
        <x:is>
          <x:t xml:space="preserve">Family</x:t>
        </x:is>
      </x:c>
      <x:c r="B27" s="15" t="inlineStr">
        <x:is>
          <x:t xml:space="preserve">Field_ID</x:t>
        </x:is>
      </x:c>
      <x:c r="C27" s="15" t="inlineStr">
        <x:is>
          <x:t xml:space="preserve">Field_Name</x:t>
        </x:is>
      </x:c>
      <x:c r="D27" s="15" t="inlineStr">
        <x:is>
          <x:t xml:space="preserve">Unit</x:t>
        </x:is>
      </x:c>
      <x:c r="E27" s="15" t="inlineStr">
        <x:is>
          <x:t xml:space="preserve">Cadence</x:t>
        </x:is>
      </x:c>
      <x:c r="F27" s="15" t="inlineStr">
        <x:is>
          <x:t xml:space="preserve">Used for</x:t>
        </x:is>
      </x:c>
      <x:c r="G27" s="15" t="inlineStr">
        <x:is>
          <x:t xml:space="preserve">Current workbook status</x:t>
        </x:is>
      </x:c>
      <x:c r="H27" s="15" t="inlineStr">
        <x:is>
          <x:t xml:space="preserve">Current repo status</x:t>
        </x:is>
      </x:c>
      <x:c r="I27" s="15" t="inlineStr">
        <x:is>
          <x:t xml:space="preserve">Priority</x:t>
        </x:is>
      </x:c>
      <x:c r="J27" s="15" t="inlineStr">
        <x:is>
          <x:t xml:space="preserve">Loop risk if pulled from later output?</x:t>
        </x:is>
      </x:c>
      <x:c r="K27" s="15" t="inlineStr">
        <x:is>
          <x:t xml:space="preserve">Preferred source class</x:t>
        </x:is>
      </x:c>
      <x:c r="L27" s="15" t="inlineStr">
        <x:is>
          <x:t xml:space="preserve">Notes</x:t>
        </x:is>
      </x:c>
    </x:row>
    <x:row r="28">
      <x:c r="A28" s="20" t="inlineStr">
        <x:is>
          <x:t xml:space="preserve">Calendar</x:t>
        </x:is>
      </x:c>
      <x:c r="B28" s="20" t="inlineStr">
        <x:is>
          <x:t xml:space="preserve">T01</x:t>
        </x:is>
      </x:c>
      <x:c r="C28" s="20" t="inlineStr">
        <x:is>
          <x:t xml:space="preserve">Snapshot timestamp ET</x:t>
        </x:is>
      </x:c>
      <x:c r="D28" s="20" t="inlineStr">
        <x:is>
          <x:t xml:space="preserve">datetime</x:t>
        </x:is>
      </x:c>
      <x:c r="E28" s="20" t="inlineStr">
        <x:is>
          <x:t xml:space="preserve">30s</x:t>
        </x:is>
      </x:c>
      <x:c r="F28" s="20" t="inlineStr">
        <x:is>
          <x:t xml:space="preserve">session date / weekday / month / minutes since open</x:t>
        </x:is>
      </x:c>
      <x:c r="G28" s="20" t="inlineStr">
        <x:is>
          <x:t xml:space="preserve">Missing</x:t>
        </x:is>
      </x:c>
      <x:c r="H28" s="20" t="inlineStr">
        <x:is>
          <x:t xml:space="preserve">Partial (timestamp only)</x:t>
        </x:is>
      </x:c>
      <x:c r="I28" s="20" t="inlineStr">
        <x:is>
          <x:t xml:space="preserve">Must-have</x:t>
        </x:is>
      </x:c>
      <x:c r="J28" s="20" t="inlineStr">
        <x:is>
          <x:t xml:space="preserve">High</x:t>
        </x:is>
      </x:c>
      <x:c r="K28" s="20" t="inlineStr">
        <x:is>
          <x:t xml:space="preserve">feed timestamp</x:t>
        </x:is>
      </x:c>
      <x:c r="L28" s="20" t="inlineStr">
        <x:is>
          <x:t xml:space="preserve">Base observation key</x:t>
        </x:is>
      </x:c>
    </x:row>
    <x:row r="29">
      <x:c r="A29" s="20" t="inlineStr">
        <x:is>
          <x:t xml:space="preserve">Calendar</x:t>
        </x:is>
      </x:c>
      <x:c r="B29" s="20" t="inlineStr">
        <x:is>
          <x:t xml:space="preserve">T02</x:t>
        </x:is>
      </x:c>
      <x:c r="C29" s="20" t="inlineStr">
        <x:is>
          <x:t xml:space="preserve">Session date ET</x:t>
        </x:is>
      </x:c>
      <x:c r="D29" s="20" t="inlineStr">
        <x:is>
          <x:t xml:space="preserve">date</x:t>
        </x:is>
      </x:c>
      <x:c r="E29" s="20" t="inlineStr">
        <x:is>
          <x:t xml:space="preserve">derived</x:t>
        </x:is>
      </x:c>
      <x:c r="F29" s="20" t="inlineStr">
        <x:is>
          <x:t xml:space="preserve">calendar partition</x:t>
        </x:is>
      </x:c>
      <x:c r="G29" s="20" t="inlineStr">
        <x:is>
          <x:t xml:space="preserve">Missing</x:t>
        </x:is>
      </x:c>
      <x:c r="H29" s="20" t="inlineStr">
        <x:is>
          <x:t xml:space="preserve">Missing</x:t>
        </x:is>
      </x:c>
      <x:c r="I29" s="20" t="inlineStr">
        <x:is>
          <x:t xml:space="preserve">Must-have</x:t>
        </x:is>
      </x:c>
      <x:c r="J29" s="20" t="inlineStr">
        <x:is>
          <x:t xml:space="preserve">Low</x:t>
        </x:is>
      </x:c>
      <x:c r="K29" s="20" t="inlineStr">
        <x:is>
          <x:t xml:space="preserve">derived from T01</x:t>
        </x:is>
      </x:c>
      <x:c r="L29" s="20" t="inlineStr">
        <x:is>
          <x:t xml:space="preserve">Trading-session anchor</x:t>
        </x:is>
      </x:c>
    </x:row>
    <x:row r="30">
      <x:c r="A30" s="20" t="inlineStr">
        <x:is>
          <x:t xml:space="preserve">Calendar</x:t>
        </x:is>
      </x:c>
      <x:c r="B30" s="20" t="inlineStr">
        <x:is>
          <x:t xml:space="preserve">T03</x:t>
        </x:is>
      </x:c>
      <x:c r="C30" s="20" t="inlineStr">
        <x:is>
          <x:t xml:space="preserve">Weekday / week-of-month / month</x:t>
        </x:is>
      </x:c>
      <x:c r="D30" s="20" t="inlineStr">
        <x:is>
          <x:t xml:space="preserve">categorical</x:t>
        </x:is>
      </x:c>
      <x:c r="E30" s="20" t="inlineStr">
        <x:is>
          <x:t xml:space="preserve">derived</x:t>
        </x:is>
      </x:c>
      <x:c r="F30" s="20" t="inlineStr">
        <x:is>
          <x:t xml:space="preserve">calendar context</x:t>
        </x:is>
      </x:c>
      <x:c r="G30" s="20" t="inlineStr">
        <x:is>
          <x:t xml:space="preserve">Missing</x:t>
        </x:is>
      </x:c>
      <x:c r="H30" s="20" t="inlineStr">
        <x:is>
          <x:t xml:space="preserve">Missing</x:t>
        </x:is>
      </x:c>
      <x:c r="I30" s="20" t="inlineStr">
        <x:is>
          <x:t xml:space="preserve">Should-have</x:t>
        </x:is>
      </x:c>
      <x:c r="J30" s="20" t="inlineStr">
        <x:is>
          <x:t xml:space="preserve">Low</x:t>
        </x:is>
      </x:c>
      <x:c r="K30" s="20" t="inlineStr">
        <x:is>
          <x:t xml:space="preserve">derived from T01</x:t>
        </x:is>
      </x:c>
      <x:c r="L30" s="20" t="inlineStr">
        <x:is>
          <x:t xml:space="preserve">First trader question is still what day/week is it</x:t>
        </x:is>
      </x:c>
    </x:row>
    <x:row r="31">
      <x:c r="A31" s="20" t="inlineStr">
        <x:is>
          <x:t xml:space="preserve">Calendar</x:t>
        </x:is>
      </x:c>
      <x:c r="B31" s="20" t="inlineStr">
        <x:is>
          <x:t xml:space="preserve">T04</x:t>
        </x:is>
      </x:c>
      <x:c r="C31" s="20" t="inlineStr">
        <x:is>
          <x:t xml:space="preserve">Next expiry timestamp</x:t>
        </x:is>
      </x:c>
      <x:c r="D31" s="20" t="inlineStr">
        <x:is>
          <x:t xml:space="preserve">datetime</x:t>
        </x:is>
      </x:c>
      <x:c r="E31" s="20" t="inlineStr">
        <x:is>
          <x:t xml:space="preserve">daily / event-driven</x:t>
        </x:is>
      </x:c>
      <x:c r="F31" s="20" t="inlineStr">
        <x:is>
          <x:t xml:space="preserve">expiry cycle state</x:t>
        </x:is>
      </x:c>
      <x:c r="G31" s="20" t="inlineStr">
        <x:is>
          <x:t xml:space="preserve">Missing</x:t>
        </x:is>
      </x:c>
      <x:c r="H31" s="20" t="inlineStr">
        <x:is>
          <x:t xml:space="preserve">Present in v1</x:t>
        </x:is>
      </x:c>
      <x:c r="I31" s="20" t="inlineStr">
        <x:is>
          <x:t xml:space="preserve">Must-have</x:t>
        </x:is>
      </x:c>
      <x:c r="J31" s="20" t="inlineStr">
        <x:is>
          <x:t xml:space="preserve">Low</x:t>
        </x:is>
      </x:c>
      <x:c r="K31" s="20" t="inlineStr">
        <x:is>
          <x:t xml:space="preserve">calendar</x:t>
        </x:is>
      </x:c>
      <x:c r="L31" s="20" t="inlineStr">
        <x:is>
          <x:t xml:space="preserve">Calendar-only use in Step 1</x:t>
        </x:is>
      </x:c>
    </x:row>
    <x:row r="32">
      <x:c r="A32" s="20" t="inlineStr">
        <x:is>
          <x:t xml:space="preserve">Calendar</x:t>
        </x:is>
      </x:c>
      <x:c r="B32" s="20" t="inlineStr">
        <x:is>
          <x:t xml:space="preserve">T05</x:t>
        </x:is>
      </x:c>
      <x:c r="C32" s="20" t="inlineStr">
        <x:is>
          <x:t xml:space="preserve">Next event timestamp</x:t>
        </x:is>
      </x:c>
      <x:c r="D32" s="20" t="inlineStr">
        <x:is>
          <x:t xml:space="preserve">datetime</x:t>
        </x:is>
      </x:c>
      <x:c r="E32" s="20" t="inlineStr">
        <x:is>
          <x:t xml:space="preserve">event-driven</x:t>
        </x:is>
      </x:c>
      <x:c r="F32" s="20" t="inlineStr">
        <x:is>
          <x:t xml:space="preserve">event window state</x:t>
        </x:is>
      </x:c>
      <x:c r="G32" s="20" t="inlineStr">
        <x:is>
          <x:t xml:space="preserve">Missing</x:t>
        </x:is>
      </x:c>
      <x:c r="H32" s="20" t="inlineStr">
        <x:is>
          <x:t xml:space="preserve">Present in v1</x:t>
        </x:is>
      </x:c>
      <x:c r="I32" s="20" t="inlineStr">
        <x:is>
          <x:t xml:space="preserve">Must-have</x:t>
        </x:is>
      </x:c>
      <x:c r="J32" s="20" t="inlineStr">
        <x:is>
          <x:t xml:space="preserve">Low</x:t>
        </x:is>
      </x:c>
      <x:c r="K32" s="20" t="inlineStr">
        <x:is>
          <x:t xml:space="preserve">calendar</x:t>
        </x:is>
      </x:c>
      <x:c r="L32" s="20" t="inlineStr">
        <x:is>
          <x:t xml:space="preserve">Calendar-only use in Step 1</x:t>
        </x:is>
      </x:c>
    </x:row>
    <x:row r="33">
      <x:c r="A33" s="20" t="inlineStr">
        <x:is>
          <x:t xml:space="preserve">Path into session</x:t>
        </x:is>
      </x:c>
      <x:c r="B33" s="20" t="inlineStr">
        <x:is>
          <x:t xml:space="preserve">T06</x:t>
        </x:is>
      </x:c>
      <x:c r="C33" s="20" t="inlineStr">
        <x:is>
          <x:t xml:space="preserve">Prior close price</x:t>
        </x:is>
      </x:c>
      <x:c r="D33" s="20" t="inlineStr">
        <x:is>
          <x:t xml:space="preserve">price</x:t>
        </x:is>
      </x:c>
      <x:c r="E33" s="20" t="inlineStr">
        <x:is>
          <x:t xml:space="preserve">daily</x:t>
        </x:is>
      </x:c>
      <x:c r="F33" s="20" t="inlineStr">
        <x:is>
          <x:t xml:space="preserve">gap / carryover</x:t>
        </x:is>
      </x:c>
      <x:c r="G33" s="20" t="inlineStr">
        <x:is>
          <x:t xml:space="preserve">Missing</x:t>
        </x:is>
      </x:c>
      <x:c r="H33" s="20" t="inlineStr">
        <x:is>
          <x:t xml:space="preserve">Missing</x:t>
        </x:is>
      </x:c>
      <x:c r="I33" s="20" t="inlineStr">
        <x:is>
          <x:t xml:space="preserve">Must-have</x:t>
        </x:is>
      </x:c>
      <x:c r="J33" s="20" t="inlineStr">
        <x:is>
          <x:t xml:space="preserve">Low</x:t>
        </x:is>
      </x:c>
      <x:c r="K33" s="20" t="inlineStr">
        <x:is>
          <x:t xml:space="preserve">market data</x:t>
        </x:is>
      </x:c>
      <x:c r="L33" s="20" t="inlineStr">
        <x:is>
          <x:t xml:space="preserve">Needed before any behavioural interpretation</x:t>
        </x:is>
      </x:c>
    </x:row>
    <x:row r="34">
      <x:c r="A34" s="20" t="inlineStr">
        <x:is>
          <x:t xml:space="preserve">Path into session</x:t>
        </x:is>
      </x:c>
      <x:c r="B34" s="20" t="inlineStr">
        <x:is>
          <x:t xml:space="preserve">T07</x:t>
        </x:is>
      </x:c>
      <x:c r="C34" s="20" t="inlineStr">
        <x:is>
          <x:t xml:space="preserve">Official open print</x:t>
        </x:is>
      </x:c>
      <x:c r="D34" s="20" t="inlineStr">
        <x:is>
          <x:t xml:space="preserve">price</x:t>
        </x:is>
      </x:c>
      <x:c r="E34" s="20" t="inlineStr">
        <x:is>
          <x:t xml:space="preserve">once / session</x:t>
        </x:is>
      </x:c>
      <x:c r="F34" s="20" t="inlineStr">
        <x:is>
          <x:t xml:space="preserve">opening anchor</x:t>
        </x:is>
      </x:c>
      <x:c r="G34" s="20" t="inlineStr">
        <x:is>
          <x:t xml:space="preserve">Missing</x:t>
        </x:is>
      </x:c>
      <x:c r="H34" s="20" t="inlineStr">
        <x:is>
          <x:t xml:space="preserve">Missing</x:t>
        </x:is>
      </x:c>
      <x:c r="I34" s="20" t="inlineStr">
        <x:is>
          <x:t xml:space="preserve">Must-have</x:t>
        </x:is>
      </x:c>
      <x:c r="J34" s="20" t="inlineStr">
        <x:is>
          <x:t xml:space="preserve">Low</x:t>
        </x:is>
      </x:c>
      <x:c r="K34" s="20" t="inlineStr">
        <x:is>
          <x:t xml:space="preserve">market data</x:t>
        </x:is>
      </x:c>
      <x:c r="L34" s="20" t="inlineStr">
        <x:is>
          <x:t xml:space="preserve">Regular-hours open only</x:t>
        </x:is>
      </x:c>
    </x:row>
    <x:row r="35">
      <x:c r="A35" s="20" t="inlineStr">
        <x:is>
          <x:t xml:space="preserve">Price / volume</x:t>
        </x:is>
      </x:c>
      <x:c r="B35" s="20" t="inlineStr">
        <x:is>
          <x:t xml:space="preserve">T08</x:t>
        </x:is>
      </x:c>
      <x:c r="C35" s="20" t="inlineStr">
        <x:is>
          <x:t xml:space="preserve">Last price</x:t>
        </x:is>
      </x:c>
      <x:c r="D35" s="20" t="inlineStr">
        <x:is>
          <x:t xml:space="preserve">price</x:t>
        </x:is>
      </x:c>
      <x:c r="E35" s="20" t="inlineStr">
        <x:is>
          <x:t xml:space="preserve">30s</x:t>
        </x:is>
      </x:c>
      <x:c r="F35" s="20" t="inlineStr">
        <x:is>
          <x:t xml:space="preserve">VWAP distance / range / impulse logic</x:t>
        </x:is>
      </x:c>
      <x:c r="G35" s="20" t="inlineStr">
        <x:is>
          <x:t xml:space="preserve">Missing</x:t>
        </x:is>
      </x:c>
      <x:c r="H35" s="20" t="inlineStr">
        <x:is>
          <x:t xml:space="preserve">Missing</x:t>
        </x:is>
      </x:c>
      <x:c r="I35" s="20" t="inlineStr">
        <x:is>
          <x:t xml:space="preserve">Must-have</x:t>
        </x:is>
      </x:c>
      <x:c r="J35" s="20" t="inlineStr">
        <x:is>
          <x:t xml:space="preserve">Low</x:t>
        </x:is>
      </x:c>
      <x:c r="K35" s="20" t="inlineStr">
        <x:is>
          <x:t xml:space="preserve">market data</x:t>
        </x:is>
      </x:c>
      <x:c r="L35" s="20" t="inlineStr">
        <x:is>
          <x:t xml:space="preserve">Primitive only</x:t>
        </x:is>
      </x:c>
    </x:row>
    <x:row r="36">
      <x:c r="A36" s="20" t="inlineStr">
        <x:is>
          <x:t xml:space="preserve">Price / volume</x:t>
        </x:is>
      </x:c>
      <x:c r="B36" s="20" t="inlineStr">
        <x:is>
          <x:t xml:space="preserve">T09</x:t>
        </x:is>
      </x:c>
      <x:c r="C36" s="20" t="inlineStr">
        <x:is>
          <x:t xml:space="preserve">Interval volume shares</x:t>
        </x:is>
      </x:c>
      <x:c r="D36" s="20" t="inlineStr">
        <x:is>
          <x:t xml:space="preserve">shares</x:t>
        </x:is>
      </x:c>
      <x:c r="E36" s="20" t="inlineStr">
        <x:is>
          <x:t xml:space="preserve">30s</x:t>
        </x:is>
      </x:c>
      <x:c r="F36" s="20" t="inlineStr">
        <x:is>
          <x:t xml:space="preserve">participation quality</x:t>
        </x:is>
      </x:c>
      <x:c r="G36" s="20" t="inlineStr">
        <x:is>
          <x:t xml:space="preserve">Missing</x:t>
        </x:is>
      </x:c>
      <x:c r="H36" s="20" t="inlineStr">
        <x:is>
          <x:t xml:space="preserve">Missing</x:t>
        </x:is>
      </x:c>
      <x:c r="I36" s="20" t="inlineStr">
        <x:is>
          <x:t xml:space="preserve">Must-have</x:t>
        </x:is>
      </x:c>
      <x:c r="J36" s="20" t="inlineStr">
        <x:is>
          <x:t xml:space="preserve">Low</x:t>
        </x:is>
      </x:c>
      <x:c r="K36" s="20" t="inlineStr">
        <x:is>
          <x:t xml:space="preserve">market data</x:t>
        </x:is>
      </x:c>
      <x:c r="L36" s="20" t="inlineStr">
        <x:is>
          <x:t xml:space="preserve">Key open/close input</x:t>
        </x:is>
      </x:c>
    </x:row>
    <x:row r="37">
      <x:c r="A37" s="20" t="inlineStr">
        <x:is>
          <x:t xml:space="preserve">Price / volume</x:t>
        </x:is>
      </x:c>
      <x:c r="B37" s="20" t="inlineStr">
        <x:is>
          <x:t xml:space="preserve">T10</x:t>
        </x:is>
      </x:c>
      <x:c r="C37" s="20" t="inlineStr">
        <x:is>
          <x:t xml:space="preserve">Cumulative session volume</x:t>
        </x:is>
      </x:c>
      <x:c r="D37" s="20" t="inlineStr">
        <x:is>
          <x:t xml:space="preserve">shares</x:t>
        </x:is>
      </x:c>
      <x:c r="E37" s="20" t="inlineStr">
        <x:is>
          <x:t xml:space="preserve">30s</x:t>
        </x:is>
      </x:c>
      <x:c r="F37" s="20" t="inlineStr">
        <x:is>
          <x:t xml:space="preserve">relative volume / VWAP</x:t>
        </x:is>
      </x:c>
      <x:c r="G37" s="20" t="inlineStr">
        <x:is>
          <x:t xml:space="preserve">Missing</x:t>
        </x:is>
      </x:c>
      <x:c r="H37" s="20" t="inlineStr">
        <x:is>
          <x:t xml:space="preserve">Missing</x:t>
        </x:is>
      </x:c>
      <x:c r="I37" s="20" t="inlineStr">
        <x:is>
          <x:t xml:space="preserve">Must-have</x:t>
        </x:is>
      </x:c>
      <x:c r="J37" s="20" t="inlineStr">
        <x:is>
          <x:t xml:space="preserve">Low</x:t>
        </x:is>
      </x:c>
      <x:c r="K37" s="20" t="inlineStr">
        <x:is>
          <x:t xml:space="preserve">derived from T09</x:t>
        </x:is>
      </x:c>
      <x:c r="L37" s="20" t="inlineStr">
        <x:is>
          <x:t xml:space="preserve">Session-to-date tally</x:t>
        </x:is>
      </x:c>
    </x:row>
    <x:row r="38">
      <x:c r="A38" s="20" t="inlineStr">
        <x:is>
          <x:t xml:space="preserve">VWAP</x:t>
        </x:is>
      </x:c>
      <x:c r="B38" s="20" t="inlineStr">
        <x:is>
          <x:t xml:space="preserve">T11</x:t>
        </x:is>
      </x:c>
      <x:c r="C38" s="20" t="inlineStr">
        <x:is>
          <x:t xml:space="preserve">Session VWAP</x:t>
        </x:is>
      </x:c>
      <x:c r="D38" s="20" t="inlineStr">
        <x:is>
          <x:t xml:space="preserve">price</x:t>
        </x:is>
      </x:c>
      <x:c r="E38" s="20" t="inlineStr">
        <x:is>
          <x:t xml:space="preserve">30s</x:t>
        </x:is>
      </x:c>
      <x:c r="F38" s="20" t="inlineStr">
        <x:is>
          <x:t xml:space="preserve">fair-value anchor</x:t>
        </x:is>
      </x:c>
      <x:c r="G38" s="20" t="inlineStr">
        <x:is>
          <x:t xml:space="preserve">Missing</x:t>
        </x:is>
      </x:c>
      <x:c r="H38" s="20" t="inlineStr">
        <x:is>
          <x:t xml:space="preserve">Fenced / partial elsewhere</x:t>
        </x:is>
      </x:c>
      <x:c r="I38" s="20" t="inlineStr">
        <x:is>
          <x:t xml:space="preserve">Must-have</x:t>
        </x:is>
      </x:c>
      <x:c r="J38" s="20" t="inlineStr">
        <x:is>
          <x:t xml:space="preserve">Medium</x:t>
        </x:is>
      </x:c>
      <x:c r="K38" s="20" t="inlineStr">
        <x:is>
          <x:t xml:space="preserve">price + volume accumulator</x:t>
        </x:is>
      </x:c>
      <x:c r="L38" s="20" t="inlineStr">
        <x:is>
          <x:t xml:space="preserve">Step 1 should own primitive VWAP observable</x:t>
        </x:is>
      </x:c>
    </x:row>
    <x:row r="39">
      <x:c r="A39" s="20" t="inlineStr">
        <x:is>
          <x:t xml:space="preserve">VWAP</x:t>
        </x:is>
      </x:c>
      <x:c r="B39" s="20" t="inlineStr">
        <x:is>
          <x:t xml:space="preserve">T12</x:t>
        </x:is>
      </x:c>
      <x:c r="C39" s="20" t="inlineStr">
        <x:is>
          <x:t xml:space="preserve">Distance to VWAP</x:t>
        </x:is>
      </x:c>
      <x:c r="D39" s="20" t="inlineStr">
        <x:is>
          <x:t xml:space="preserve">bps</x:t>
        </x:is>
      </x:c>
      <x:c r="E39" s="20" t="inlineStr">
        <x:is>
          <x:t xml:space="preserve">30s</x:t>
        </x:is>
      </x:c>
      <x:c r="F39" s="20" t="inlineStr">
        <x:is>
          <x:t xml:space="preserve">anchor vs extension</x:t>
        </x:is>
      </x:c>
      <x:c r="G39" s="20" t="inlineStr">
        <x:is>
          <x:t xml:space="preserve">Missing</x:t>
        </x:is>
      </x:c>
      <x:c r="H39" s="20" t="inlineStr">
        <x:is>
          <x:t xml:space="preserve">Fenced / partial elsewhere</x:t>
        </x:is>
      </x:c>
      <x:c r="I39" s="20" t="inlineStr">
        <x:is>
          <x:t xml:space="preserve">Must-have</x:t>
        </x:is>
      </x:c>
      <x:c r="J39" s="20" t="inlineStr">
        <x:is>
          <x:t xml:space="preserve">Medium</x:t>
        </x:is>
      </x:c>
      <x:c r="K39" s="20" t="inlineStr">
        <x:is>
          <x:t xml:space="preserve">derived from T08 &amp; T11</x:t>
        </x:is>
      </x:c>
      <x:c r="L39" s="20" t="inlineStr">
        <x:is>
          <x:t xml:space="preserve">Signed value</x:t>
        </x:is>
      </x:c>
    </x:row>
    <x:row r="40">
      <x:c r="A40" s="20" t="inlineStr">
        <x:is>
          <x:t xml:space="preserve">VWAP</x:t>
        </x:is>
      </x:c>
      <x:c r="B40" s="20" t="inlineStr">
        <x:is>
          <x:t xml:space="preserve">T13</x:t>
        </x:is>
      </x:c>
      <x:c r="C40" s="20" t="inlineStr">
        <x:is>
          <x:t xml:space="preserve">VWAP slope 5m</x:t>
        </x:is>
      </x:c>
      <x:c r="D40" s="20" t="inlineStr">
        <x:is>
          <x:t xml:space="preserve">bps / 5m</x:t>
        </x:is>
      </x:c>
      <x:c r="E40" s="20" t="inlineStr">
        <x:is>
          <x:t xml:space="preserve">30s rolling</x:t>
        </x:is>
      </x:c>
      <x:c r="F40" s="20" t="inlineStr">
        <x:is>
          <x:t xml:space="preserve">trend persistence vs magnet</x:t>
        </x:is>
      </x:c>
      <x:c r="G40" s="20" t="inlineStr">
        <x:is>
          <x:t xml:space="preserve">Missing</x:t>
        </x:is>
      </x:c>
      <x:c r="H40" s="20" t="inlineStr">
        <x:is>
          <x:t xml:space="preserve">Fenced / partial elsewhere</x:t>
        </x:is>
      </x:c>
      <x:c r="I40" s="20" t="inlineStr">
        <x:is>
          <x:t xml:space="preserve">Should-have</x:t>
        </x:is>
      </x:c>
      <x:c r="J40" s="20" t="inlineStr">
        <x:is>
          <x:t xml:space="preserve">Medium</x:t>
        </x:is>
      </x:c>
      <x:c r="K40" s="20" t="inlineStr">
        <x:is>
          <x:t xml:space="preserve">derived from T11</x:t>
        </x:is>
      </x:c>
      <x:c r="L40" s="20" t="inlineStr">
        <x:is>
          <x:t xml:space="preserve">Short-window direction</x:t>
        </x:is>
      </x:c>
    </x:row>
    <x:row r="41">
      <x:c r="A41" s="20" t="inlineStr">
        <x:is>
          <x:t xml:space="preserve">Opening range</x:t>
        </x:is>
      </x:c>
      <x:c r="B41" s="20" t="inlineStr">
        <x:is>
          <x:t xml:space="preserve">T14</x:t>
        </x:is>
      </x:c>
      <x:c r="C41" s="20" t="inlineStr">
        <x:is>
          <x:t xml:space="preserve">Opening-range high 5m</x:t>
        </x:is>
      </x:c>
      <x:c r="D41" s="20" t="inlineStr">
        <x:is>
          <x:t xml:space="preserve">price</x:t>
        </x:is>
      </x:c>
      <x:c r="E41" s="20" t="inlineStr">
        <x:is>
          <x:t xml:space="preserve">session</x:t>
        </x:is>
      </x:c>
      <x:c r="F41" s="20" t="inlineStr">
        <x:is>
          <x:t xml:space="preserve">early discovery framing</x:t>
        </x:is>
      </x:c>
      <x:c r="G41" s="20" t="inlineStr">
        <x:is>
          <x:t xml:space="preserve">Missing</x:t>
        </x:is>
      </x:c>
      <x:c r="H41" s="20" t="inlineStr">
        <x:is>
          <x:t xml:space="preserve">Missing</x:t>
        </x:is>
      </x:c>
      <x:c r="I41" s="20" t="inlineStr">
        <x:is>
          <x:t xml:space="preserve">Must-have</x:t>
        </x:is>
      </x:c>
      <x:c r="J41" s="20" t="inlineStr">
        <x:is>
          <x:t xml:space="preserve">Low</x:t>
        </x:is>
      </x:c>
      <x:c r="K41" s="20" t="inlineStr">
        <x:is>
          <x:t xml:space="preserve">market data</x:t>
        </x:is>
      </x:c>
      <x:c r="L41" s="20" t="inlineStr">
        <x:is>
          <x:t xml:space="preserve">Can later compare 5m vs 15m</x:t>
        </x:is>
      </x:c>
    </x:row>
    <x:row r="42">
      <x:c r="A42" s="20" t="inlineStr">
        <x:is>
          <x:t xml:space="preserve">Opening range</x:t>
        </x:is>
      </x:c>
      <x:c r="B42" s="20" t="inlineStr">
        <x:is>
          <x:t xml:space="preserve">T15</x:t>
        </x:is>
      </x:c>
      <x:c r="C42" s="20" t="inlineStr">
        <x:is>
          <x:t xml:space="preserve">Opening-range low 5m</x:t>
        </x:is>
      </x:c>
      <x:c r="D42" s="20" t="inlineStr">
        <x:is>
          <x:t xml:space="preserve">price</x:t>
        </x:is>
      </x:c>
      <x:c r="E42" s="20" t="inlineStr">
        <x:is>
          <x:t xml:space="preserve">session</x:t>
        </x:is>
      </x:c>
      <x:c r="F42" s="20" t="inlineStr">
        <x:is>
          <x:t xml:space="preserve">early discovery framing</x:t>
        </x:is>
      </x:c>
      <x:c r="G42" s="20" t="inlineStr">
        <x:is>
          <x:t xml:space="preserve">Missing</x:t>
        </x:is>
      </x:c>
      <x:c r="H42" s="20" t="inlineStr">
        <x:is>
          <x:t xml:space="preserve">Missing</x:t>
        </x:is>
      </x:c>
      <x:c r="I42" s="20" t="inlineStr">
        <x:is>
          <x:t xml:space="preserve">Must-have</x:t>
        </x:is>
      </x:c>
      <x:c r="J42" s="20" t="inlineStr">
        <x:is>
          <x:t xml:space="preserve">Low</x:t>
        </x:is>
      </x:c>
      <x:c r="K42" s="20" t="inlineStr">
        <x:is>
          <x:t xml:space="preserve">market data</x:t>
        </x:is>
      </x:c>
      <x:c r="L42" s="20" t="inlineStr">
        <x:is>
          <x:t xml:space="preserve">Pairs with T14</x:t>
        </x:is>
      </x:c>
    </x:row>
    <x:row r="43">
      <x:c r="A43" s="20" t="inlineStr">
        <x:is>
          <x:t xml:space="preserve">Opening range</x:t>
        </x:is>
      </x:c>
      <x:c r="B43" s="20" t="inlineStr">
        <x:is>
          <x:t xml:space="preserve">T16</x:t>
        </x:is>
      </x:c>
      <x:c r="C43" s="20" t="inlineStr">
        <x:is>
          <x:t xml:space="preserve">Opening-range break count</x:t>
        </x:is>
      </x:c>
      <x:c r="D43" s="20" t="inlineStr">
        <x:is>
          <x:t xml:space="preserve">count</x:t>
        </x:is>
      </x:c>
      <x:c r="E43" s="20" t="inlineStr">
        <x:is>
          <x:t xml:space="preserve">30s rolling</x:t>
        </x:is>
      </x:c>
      <x:c r="F43" s="20" t="inlineStr">
        <x:is>
          <x:t xml:space="preserve">unresolved discovery vs stable anchor</x:t>
        </x:is>
      </x:c>
      <x:c r="G43" s="20" t="inlineStr">
        <x:is>
          <x:t xml:space="preserve">Missing</x:t>
        </x:is>
      </x:c>
      <x:c r="H43" s="20" t="inlineStr">
        <x:is>
          <x:t xml:space="preserve">Missing</x:t>
        </x:is>
      </x:c>
      <x:c r="I43" s="20" t="inlineStr">
        <x:is>
          <x:t xml:space="preserve">Should-have</x:t>
        </x:is>
      </x:c>
      <x:c r="J43" s="20" t="inlineStr">
        <x:is>
          <x:t xml:space="preserve">Low</x:t>
        </x:is>
      </x:c>
      <x:c r="K43" s="20" t="inlineStr">
        <x:is>
          <x:t xml:space="preserve">derived from price path</x:t>
        </x:is>
      </x:c>
      <x:c r="L43" s="20" t="inlineStr">
        <x:is>
          <x:t xml:space="preserve">No playbook logic here</x:t>
        </x:is>
      </x:c>
    </x:row>
    <x:row r="44">
      <x:c r="A44" s="20" t="inlineStr">
        <x:is>
          <x:t xml:space="preserve">Realised state</x:t>
        </x:is>
      </x:c>
      <x:c r="B44" s="20" t="inlineStr">
        <x:is>
          <x:t xml:space="preserve">T17</x:t>
        </x:is>
      </x:c>
      <x:c r="C44" s="20" t="inlineStr">
        <x:is>
          <x:t xml:space="preserve">Rolling realised vol 5m</x:t>
        </x:is>
      </x:c>
      <x:c r="D44" s="20" t="inlineStr">
        <x:is>
          <x:t xml:space="preserve">bps</x:t>
        </x:is>
      </x:c>
      <x:c r="E44" s="20" t="inlineStr">
        <x:is>
          <x:t xml:space="preserve">30s rolling</x:t>
        </x:is>
      </x:c>
      <x:c r="F44" s="20" t="inlineStr">
        <x:is>
          <x:t xml:space="preserve">disorder vs compression</x:t>
        </x:is>
      </x:c>
      <x:c r="G44" s="20" t="inlineStr">
        <x:is>
          <x:t xml:space="preserve">Missing</x:t>
        </x:is>
      </x:c>
      <x:c r="H44" s="20" t="inlineStr">
        <x:is>
          <x:t xml:space="preserve">Missing</x:t>
        </x:is>
      </x:c>
      <x:c r="I44" s="20" t="inlineStr">
        <x:is>
          <x:t xml:space="preserve">Must-have</x:t>
        </x:is>
      </x:c>
      <x:c r="J44" s="20" t="inlineStr">
        <x:is>
          <x:t xml:space="preserve">Low</x:t>
        </x:is>
      </x:c>
      <x:c r="K44" s="20" t="inlineStr">
        <x:is>
          <x:t xml:space="preserve">derived from 30s returns</x:t>
        </x:is>
      </x:c>
      <x:c r="L44" s="20" t="inlineStr">
        <x:is>
          <x:t xml:space="preserve">Short-window state</x:t>
        </x:is>
      </x:c>
    </x:row>
    <x:row r="45">
      <x:c r="A45" s="20" t="inlineStr">
        <x:is>
          <x:t xml:space="preserve">Realised state</x:t>
        </x:is>
      </x:c>
      <x:c r="B45" s="20" t="inlineStr">
        <x:is>
          <x:t xml:space="preserve">T18</x:t>
        </x:is>
      </x:c>
      <x:c r="C45" s="20" t="inlineStr">
        <x:is>
          <x:t xml:space="preserve">Rolling realised vol 15m</x:t>
        </x:is>
      </x:c>
      <x:c r="D45" s="20" t="inlineStr">
        <x:is>
          <x:t xml:space="preserve">bps</x:t>
        </x:is>
      </x:c>
      <x:c r="E45" s="20" t="inlineStr">
        <x:is>
          <x:t xml:space="preserve">30s rolling</x:t>
        </x:is>
      </x:c>
      <x:c r="F45" s="20" t="inlineStr">
        <x:is>
          <x:t xml:space="preserve">persistent vs transient state</x:t>
        </x:is>
      </x:c>
      <x:c r="G45" s="20" t="inlineStr">
        <x:is>
          <x:t xml:space="preserve">Missing</x:t>
        </x:is>
      </x:c>
      <x:c r="H45" s="20" t="inlineStr">
        <x:is>
          <x:t xml:space="preserve">Missing</x:t>
        </x:is>
      </x:c>
      <x:c r="I45" s="20" t="inlineStr">
        <x:is>
          <x:t xml:space="preserve">Should-have</x:t>
        </x:is>
      </x:c>
      <x:c r="J45" s="20" t="inlineStr">
        <x:is>
          <x:t xml:space="preserve">Low</x:t>
        </x:is>
      </x:c>
      <x:c r="K45" s="20" t="inlineStr">
        <x:is>
          <x:t xml:space="preserve">derived from 30s returns</x:t>
        </x:is>
      </x:c>
      <x:c r="L45" s="20" t="inlineStr">
        <x:is>
          <x:t xml:space="preserve">Longer short window</x:t>
        </x:is>
      </x:c>
    </x:row>
    <x:row r="46">
      <x:c r="A46" s="20" t="inlineStr">
        <x:is>
          <x:t xml:space="preserve">Participation</x:t>
        </x:is>
      </x:c>
      <x:c r="B46" s="20" t="inlineStr">
        <x:is>
          <x:t xml:space="preserve">T19</x:t>
        </x:is>
      </x:c>
      <x:c r="C46" s="20" t="inlineStr">
        <x:is>
          <x:t xml:space="preserve">Relative volume vs intraday curve</x:t>
        </x:is>
      </x:c>
      <x:c r="D46" s="20" t="inlineStr">
        <x:is>
          <x:t xml:space="preserve">ratio</x:t>
        </x:is>
      </x:c>
      <x:c r="E46" s="20" t="inlineStr">
        <x:is>
          <x:t xml:space="preserve">30s rolling</x:t>
        </x:is>
      </x:c>
      <x:c r="F46" s="20" t="inlineStr">
        <x:is>
          <x:t xml:space="preserve">open/close participation versus normal</x:t>
        </x:is>
      </x:c>
      <x:c r="G46" s="20" t="inlineStr">
        <x:is>
          <x:t xml:space="preserve">Missing</x:t>
        </x:is>
      </x:c>
      <x:c r="H46" s="20" t="inlineStr">
        <x:is>
          <x:t xml:space="preserve">Missing</x:t>
        </x:is>
      </x:c>
      <x:c r="I46" s="20" t="inlineStr">
        <x:is>
          <x:t xml:space="preserve">Must-have</x:t>
        </x:is>
      </x:c>
      <x:c r="J46" s="20" t="inlineStr">
        <x:is>
          <x:t xml:space="preserve">Low</x:t>
        </x:is>
      </x:c>
      <x:c r="K46" s="20" t="inlineStr">
        <x:is>
          <x:t xml:space="preserve">historical baseline + T10</x:t>
        </x:is>
      </x:c>
      <x:c r="L46" s="20" t="inlineStr">
        <x:is>
          <x:t xml:space="preserve">Lets tape disagree with clock</x:t>
        </x:is>
      </x:c>
    </x:row>
    <x:row r="47">
      <x:c r="A47" s="20" t="inlineStr">
        <x:is>
          <x:t xml:space="preserve">Participation</x:t>
        </x:is>
      </x:c>
      <x:c r="B47" s="20" t="inlineStr">
        <x:is>
          <x:t xml:space="preserve">T20</x:t>
        </x:is>
      </x:c>
      <x:c r="C47" s="20" t="inlineStr">
        <x:is>
          <x:t xml:space="preserve">Rolling 5m range</x:t>
        </x:is>
      </x:c>
      <x:c r="D47" s="20" t="inlineStr">
        <x:is>
          <x:t xml:space="preserve">bps</x:t>
        </x:is>
      </x:c>
      <x:c r="E47" s="20" t="inlineStr">
        <x:is>
          <x:t xml:space="preserve">30s rolling</x:t>
        </x:is>
      </x:c>
      <x:c r="F47" s="20" t="inlineStr">
        <x:is>
          <x:t xml:space="preserve">compression vs expansion</x:t>
        </x:is>
      </x:c>
      <x:c r="G47" s="20" t="inlineStr">
        <x:is>
          <x:t xml:space="preserve">Missing</x:t>
        </x:is>
      </x:c>
      <x:c r="H47" s="20" t="inlineStr">
        <x:is>
          <x:t xml:space="preserve">Missing</x:t>
        </x:is>
      </x:c>
      <x:c r="I47" s="20" t="inlineStr">
        <x:is>
          <x:t xml:space="preserve">Must-have</x:t>
        </x:is>
      </x:c>
      <x:c r="J47" s="20" t="inlineStr">
        <x:is>
          <x:t xml:space="preserve">Low</x:t>
        </x:is>
      </x:c>
      <x:c r="K47" s="20" t="inlineStr">
        <x:is>
          <x:t xml:space="preserve">derived from price path</x:t>
        </x:is>
      </x:c>
      <x:c r="L47" s="20" t="inlineStr">
        <x:is>
          <x:t xml:space="preserve">Simple structure proxy</x:t>
        </x:is>
      </x:c>
    </x:row>
    <x:row r="48">
      <x:c r="A48" s="20" t="inlineStr">
        <x:is>
          <x:t xml:space="preserve">Participation</x:t>
        </x:is>
      </x:c>
      <x:c r="B48" s="20" t="inlineStr">
        <x:is>
          <x:t xml:space="preserve">T21</x:t>
        </x:is>
      </x:c>
      <x:c r="C48" s="20" t="inlineStr">
        <x:is>
          <x:t xml:space="preserve">Impulse age</x:t>
        </x:is>
      </x:c>
      <x:c r="D48" s="20" t="inlineStr">
        <x:is>
          <x:t xml:space="preserve">minutes</x:t>
        </x:is>
      </x:c>
      <x:c r="E48" s="20" t="inlineStr">
        <x:is>
          <x:t xml:space="preserve">30s rolling</x:t>
        </x:is>
      </x:c>
      <x:c r="F48" s="20" t="inlineStr">
        <x:is>
          <x:t xml:space="preserve">anchor vs active trend</x:t>
        </x:is>
      </x:c>
      <x:c r="G48" s="20" t="inlineStr">
        <x:is>
          <x:t xml:space="preserve">Missing</x:t>
        </x:is>
      </x:c>
      <x:c r="H48" s="20" t="inlineStr">
        <x:is>
          <x:t xml:space="preserve">Missing</x:t>
        </x:is>
      </x:c>
      <x:c r="I48" s="20" t="inlineStr">
        <x:is>
          <x:t xml:space="preserve">Should-have</x:t>
        </x:is>
      </x:c>
      <x:c r="J48" s="20" t="inlineStr">
        <x:is>
          <x:t xml:space="preserve">Low</x:t>
        </x:is>
      </x:c>
      <x:c r="K48" s="20" t="inlineStr">
        <x:is>
          <x:t xml:space="preserve">derived from price path</x:t>
        </x:is>
      </x:c>
      <x:c r="L48" s="20" t="inlineStr">
        <x:is>
          <x:t xml:space="preserve">Simple calm/activity proxy</x:t>
        </x:is>
      </x:c>
    </x:row>
    <x:row r="49">
      <x:c r="A49" s="20" t="inlineStr">
        <x:is>
          <x:t xml:space="preserve">Microstructure optional</x:t>
        </x:is>
      </x:c>
      <x:c r="B49" s="20" t="inlineStr">
        <x:is>
          <x:t xml:space="preserve">T22</x:t>
        </x:is>
      </x:c>
      <x:c r="C49" s="20" t="inlineStr">
        <x:is>
          <x:t xml:space="preserve">Bid-ask spread</x:t>
        </x:is>
      </x:c>
      <x:c r="D49" s="20" t="inlineStr">
        <x:is>
          <x:t xml:space="preserve">bps</x:t>
        </x:is>
      </x:c>
      <x:c r="E49" s="20" t="inlineStr">
        <x:is>
          <x:t xml:space="preserve">30s</x:t>
        </x:is>
      </x:c>
      <x:c r="F49" s="20" t="inlineStr">
        <x:is>
          <x:t xml:space="preserve">liquidity stress</x:t>
        </x:is>
      </x:c>
      <x:c r="G49" s="20" t="inlineStr">
        <x:is>
          <x:t xml:space="preserve">Missing</x:t>
        </x:is>
      </x:c>
      <x:c r="H49" s="20" t="inlineStr">
        <x:is>
          <x:t xml:space="preserve">Missing</x:t>
        </x:is>
      </x:c>
      <x:c r="I49" s="20" t="inlineStr">
        <x:is>
          <x:t xml:space="preserve">Optional v2</x:t>
        </x:is>
      </x:c>
      <x:c r="J49" s="20" t="inlineStr">
        <x:is>
          <x:t xml:space="preserve">Low</x:t>
        </x:is>
      </x:c>
      <x:c r="K49" s="20" t="inlineStr">
        <x:is>
          <x:t xml:space="preserve">quote data</x:t>
        </x:is>
      </x:c>
      <x:c r="L49" s="20" t="inlineStr">
        <x:is>
          <x:t xml:space="preserve">Useful if feed quality allows</x:t>
        </x:is>
      </x:c>
    </x:row>
    <x:row r="50">
      <x:c r="A50" s="20" t="inlineStr">
        <x:is>
          <x:t xml:space="preserve">Microstructure optional</x:t>
        </x:is>
      </x:c>
      <x:c r="B50" s="20" t="inlineStr">
        <x:is>
          <x:t xml:space="preserve">T23</x:t>
        </x:is>
      </x:c>
      <x:c r="C50" s="20" t="inlineStr">
        <x:is>
          <x:t xml:space="preserve">Trade count</x:t>
        </x:is>
      </x:c>
      <x:c r="D50" s="20" t="inlineStr">
        <x:is>
          <x:t xml:space="preserve">count</x:t>
        </x:is>
      </x:c>
      <x:c r="E50" s="20" t="inlineStr">
        <x:is>
          <x:t xml:space="preserve">30s</x:t>
        </x:is>
      </x:c>
      <x:c r="F50" s="20" t="inlineStr">
        <x:is>
          <x:t xml:space="preserve">participation quality</x:t>
        </x:is>
      </x:c>
      <x:c r="G50" s="20" t="inlineStr">
        <x:is>
          <x:t xml:space="preserve">Missing</x:t>
        </x:is>
      </x:c>
      <x:c r="H50" s="20" t="inlineStr">
        <x:is>
          <x:t xml:space="preserve">Missing</x:t>
        </x:is>
      </x:c>
      <x:c r="I50" s="20" t="inlineStr">
        <x:is>
          <x:t xml:space="preserve">Optional v2</x:t>
        </x:is>
      </x:c>
      <x:c r="J50" s="20" t="inlineStr">
        <x:is>
          <x:t xml:space="preserve">Low</x:t>
        </x:is>
      </x:c>
      <x:c r="K50" s="20" t="inlineStr">
        <x:is>
          <x:t xml:space="preserve">trade tape</x:t>
        </x:is>
      </x:c>
      <x:c r="L50" s="20" t="inlineStr">
        <x:is>
          <x:t xml:space="preserve">Useful if interval volume is noisy</x:t>
        </x:is>
      </x:c>
    </x:row>
    <x:row r="51">
      <x:c r="A51" s="20" t="inlineStr">
        <x:is>
          <x:t xml:space="preserve">Close optional</x:t>
        </x:is>
      </x:c>
      <x:c r="B51" s="20" t="inlineStr">
        <x:is>
          <x:t xml:space="preserve">T24</x:t>
        </x:is>
      </x:c>
      <x:c r="C51" s="20" t="inlineStr">
        <x:is>
          <x:t xml:space="preserve">Close imbalance proxy</x:t>
        </x:is>
      </x:c>
      <x:c r="D51" s="20" t="inlineStr">
        <x:is>
          <x:t xml:space="preserve">signed ratio</x:t>
        </x:is>
      </x:c>
      <x:c r="E51" s="20" t="inlineStr">
        <x:is>
          <x:t xml:space="preserve">late session</x:t>
        </x:is>
      </x:c>
      <x:c r="F51" s="20" t="inlineStr">
        <x:is>
          <x:t xml:space="preserve">auction pressure refinement</x:t>
        </x:is>
      </x:c>
      <x:c r="G51" s="20" t="inlineStr">
        <x:is>
          <x:t xml:space="preserve">Missing</x:t>
        </x:is>
      </x:c>
      <x:c r="H51" s="20" t="inlineStr">
        <x:is>
          <x:t xml:space="preserve">Missing</x:t>
        </x:is>
      </x:c>
      <x:c r="I51" s="20" t="inlineStr">
        <x:is>
          <x:t xml:space="preserve">Optional v2</x:t>
        </x:is>
      </x:c>
      <x:c r="J51" s="20" t="inlineStr">
        <x:is>
          <x:t xml:space="preserve">Low</x:t>
        </x:is>
      </x:c>
      <x:c r="K51" s="20" t="inlineStr">
        <x:is>
          <x:t xml:space="preserve">auction/imbalance feed</x:t>
        </x:is>
      </x:c>
      <x:c r="L51" s="20" t="inlineStr">
        <x:is>
          <x:t xml:space="preserve">Useful near 15:50+</x:t>
        </x:is>
      </x:c>
    </x:row>
    <x:row r="54" ht="24" customHeight="1">
      <x:c r="A54" s="1" t="inlineStr">
        <x:is>
          <x:t xml:space="preserve">Explicit downstream outputs that Step 1 must NOT consume</x:t>
        </x:is>
      </x:c>
    </x:row>
    <x:row r="55">
      <x:c r="A55" s="15" t="inlineStr">
        <x:is>
          <x:t xml:space="preserve">Excluded output / family</x:t>
        </x:is>
      </x:c>
      <x:c r="B55" s="15" t="inlineStr">
        <x:is>
          <x:t xml:space="preserve">Why blocked</x:t>
        </x:is>
      </x:c>
      <x:c r="C55" s="15" t="inlineStr">
        <x:is>
          <x:t xml:space="preserve">Safe alternative if needed</x:t>
        </x:is>
      </x:c>
    </x:row>
    <x:row r="56" ht="34" customHeight="1">
      <x:c r="A56" s="20" t="inlineStr">
        <x:is>
          <x:t xml:space="preserve">Derived_Beta_Leadership outputs</x:t>
        </x:is>
      </x:c>
      <x:c r="B56" s="20" t="inlineStr">
        <x:is>
          <x:t xml:space="preserve">These belong to Market Regime Context (Step 2), not Temporal Context (Step 1).</x:t>
        </x:is>
      </x:c>
      <x:c r="C56" s="20" t="inlineStr">
        <x:is>
          <x:t xml:space="preserve">If timing needs beta context later, let Step 2 consume the shared primitives separately.</x:t>
        </x:is>
      </x:c>
    </x:row>
    <x:row r="57" ht="34" customHeight="1">
      <x:c r="A57" s="20" t="inlineStr">
        <x:is>
          <x:t xml:space="preserve">Derived_Vol_Rates_FX scores</x:t>
        </x:is>
      </x:c>
      <x:c r="B57" s="20" t="inlineStr">
        <x:is>
          <x:t xml:space="preserve">Macro regime scores would leak later-stage interpretation back into the time layer.</x:t>
        </x:is>
      </x:c>
      <x:c r="C57" s="20" t="inlineStr">
        <x:is>
          <x:t xml:space="preserve">Capture only event/expiry timestamps and tape primitives in Step 1.</x:t>
        </x:is>
      </x:c>
    </x:row>
    <x:row r="58" ht="34" customHeight="1">
      <x:c r="A58" s="20" t="inlineStr">
        <x:is>
          <x:t xml:space="preserve">Derived_Execution_Options scores (gamma pressure / flow bias / IV-vs-RV / term stress / skew stress)</x:t>
        </x:is>
      </x:c>
      <x:c r="B58" s="20" t="inlineStr">
        <x:is>
          <x:t xml:space="preserve">These are Step 3 outputs and would create circularity if used to define time-of-day behaviour.</x:t>
        </x:is>
      </x:c>
      <x:c r="C58" s="20" t="inlineStr">
        <x:is>
          <x:t xml:space="preserve">If a primitive expiry calendar is needed, duplicate the timestamp/calendar input only.</x:t>
        </x:is>
      </x:c>
    </x:row>
    <x:row r="59" ht="34" customHeight="1">
      <x:c r="A59" s="20" t="inlineStr">
        <x:is>
          <x:t xml:space="preserve">Derived_Asia_Breadth outputs</x:t>
        </x:is>
      </x:c>
      <x:c r="B59" s="20" t="inlineStr">
        <x:is>
          <x:t xml:space="preserve">Asia handoff and breadth are market regime context, not the intraday time-state itself.</x:t>
        </x:is>
      </x:c>
      <x:c r="C59" s="20" t="inlineStr">
        <x:is>
          <x:t xml:space="preserve">Keep Step 1 to price/volume/VWAP/opening-range/event/expiry primitives.</x:t>
        </x:is>
      </x:c>
    </x:row>
    <x:row r="60" ht="34" customHeight="1">
      <x:c r="A60" s="20" t="inlineStr">
        <x:is>
          <x:t xml:space="preserve">Posture/risk vetoes and playbook eligibility</x:t>
        </x:is>
      </x:c>
      <x:c r="B60" s="20" t="inlineStr">
        <x:is>
          <x:t xml:space="preserve">These are consequences of earlier cognition steps, not valid inputs to them.</x:t>
        </x:is>
      </x:c>
      <x:c r="C60" s="20" t="inlineStr">
        <x:is>
          <x:t xml:space="preserve">Never feed these back into Step 1.</x:t>
        </x:is>
      </x:c>
    </x:row>
    <x:row r="63" ht="24" customHeight="1">
      <x:c r="A63" s="1" t="inlineStr">
        <x:is>
          <x:t xml:space="preserve">Working design recommendation</x:t>
        </x:is>
      </x:c>
    </x:row>
    <x:row r="64" ht="24" customHeight="1">
      <x:c r="A64" s="20" t="inlineStr">
        <x:is>
          <x:t xml:space="preserve">• Keep two outputs in Step 1: (1) clock_envelope and (2) behavioural_phase.</x:t>
        </x:is>
      </x:c>
    </x:row>
    <x:row r="65" ht="24" customHeight="1">
      <x:c r="A65" s="20" t="inlineStr">
        <x:is>
          <x:t xml:space="preserve">• Let the clock act as a prior only; let primitive 30-second observables decide whether behaviour has stabilised, compressed, trended, or stayed disorderly.</x:t>
        </x:is>
      </x:c>
    </x:row>
    <x:row r="66" ht="24" customHeight="1">
      <x:c r="A66" s="20" t="inlineStr">
        <x:is>
          <x:t xml:space="preserve">• Preserve expiry-cycle state and event-window state in Step 1 because they are calendar/time constructs, not later cognitive verdicts.</x:t>
        </x:is>
      </x:c>
    </x:row>
    <x:row r="67" ht="24" customHeight="1">
      <x:c r="A67" s="20" t="inlineStr">
        <x:is>
          <x:t xml:space="preserve">• Use a transparent scorecard or finite-state machine for workbook exploration first; only then harden into code.</x:t>
        </x:is>
      </x:c>
    </x:row>
  </x:sheetData>
  <x:mergeCells>
    <x:mergeCell ref="A26:L26"/>
    <x:mergeCell ref="A54:L54"/>
    <x:mergeCell ref="A2:L2"/>
    <x:mergeCell ref="A64:L64"/>
    <x:mergeCell ref="A63:L63"/>
    <x:mergeCell ref="A1:L1"/>
    <x:mergeCell ref="A66:L66"/>
    <x:mergeCell ref="A4:F4"/>
    <x:mergeCell ref="A67:L67"/>
    <x:mergeCell ref="H4:L4"/>
    <x:mergeCell ref="A65:L65"/>
  </x:mergeCells>
  <x:pageMargins left="0.7" right="0.7" top="0.75" bottom="0.75" header="0.3" footer="0.3"/>
  <x:legacyDrawing xmlns:r="http://schemas.openxmlformats.org/officeDocument/2006/relationships" r:id="R21ef8e175c4344c0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6" customWidth="1"/>
    <x:col min="3" max="3" width="19" customWidth="1"/>
    <x:col min="4" max="4" width="12" customWidth="1"/>
    <x:col min="5" max="5" width="10" customWidth="1"/>
    <x:col min="6" max="6" width="12" customWidth="1"/>
    <x:col min="7" max="7" width="10" customWidth="1"/>
    <x:col min="8" max="8" width="13" customWidth="1"/>
    <x:col min="9" max="9" width="13" customWidth="1"/>
    <x:col min="10" max="10" width="10" customWidth="1"/>
    <x:col min="11" max="11" width="18" customWidth="1"/>
    <x:col min="12" max="12" width="12" customWidth="1"/>
    <x:col min="13" max="13" width="24" customWidth="1"/>
    <x:col min="14" max="14" width="10" customWidth="1"/>
    <x:col min="15" max="15" width="12" customWidth="1"/>
    <x:col min="16" max="16" width="10" customWidth="1"/>
    <x:col min="17" max="17" width="10" customWidth="1"/>
    <x:col min="18" max="18" width="14" customWidth="1"/>
    <x:col min="19" max="19" width="16" customWidth="1"/>
    <x:col min="20" max="20" width="12" customWidth="1"/>
    <x:col min="21" max="21" width="10" customWidth="1"/>
    <x:col min="22" max="22" width="10" customWidth="1"/>
    <x:col min="23" max="23" width="14" customWidth="1"/>
    <x:col min="24" max="24" width="16" customWidth="1"/>
    <x:col min="25" max="25" width="12" customWidth="1"/>
    <x:col min="26" max="26" width="12" customWidth="1"/>
    <x:col min="27" max="27" width="16" customWidth="1"/>
    <x:col min="28" max="28" width="12" customWidth="1"/>
    <x:col min="29" max="29" width="10" customWidth="1"/>
    <x:col min="30" max="30" width="20" customWidth="1"/>
    <x:col min="31" max="31" width="20" customWidth="1"/>
    <x:col min="32" max="32" width="12" customWidth="1"/>
  </x:cols>
  <x:sheetData>
    <x:row r="1">
      <x:c r="A1" s="1" t="inlineStr">
        <x:is>
          <x:t xml:space="preserve">Temporal Step1 Tests — 30-second behavioural-state harness</x:t>
        </x:is>
      </x:c>
    </x:row>
    <x:row r="2" ht="28" customHeight="1">
      <x:c r="A2" s="69" t="inlineStr">
        <x:is>
          <x:t xml:space="preserve">Transparent workbook harness for exploring Step 1 without importing Step 2/3 outputs. Thresholds live on Temporal_Step1_Framework.</x:t>
        </x:is>
      </x:c>
    </x:row>
    <x:row r="3" ht="20" customHeight="1">
      <x:c r="A3" s="69" t="inlineStr">
        <x:is>
          <x:t xml:space="preserve">• Clock envelope and behavioural phase are separate outputs.</x:t>
        </x:is>
      </x:c>
    </x:row>
    <x:row r="4" ht="20" customHeight="1">
      <x:c r="A4" s="69" t="inlineStr">
        <x:is>
          <x:t xml:space="preserve">• Event and expiry states stay in Step 1 because they are calendar/time constructs.</x:t>
        </x:is>
      </x:c>
    </x:row>
    <x:row r="5" ht="20" customHeight="1">
      <x:c r="A5" s="15" t="inlineStr">
        <x:is>
          <x:t xml:space="preserve">Case_ID</x:t>
        </x:is>
      </x:c>
      <x:c r="B5" s="15" t="inlineStr">
        <x:is>
          <x:t xml:space="preserve">Description</x:t>
        </x:is>
      </x:c>
      <x:c r="C5" s="15" t="inlineStr">
        <x:is>
          <x:t xml:space="preserve">Snapshot_TS_ET</x:t>
        </x:is>
      </x:c>
      <x:c r="D5" s="15" t="inlineStr">
        <x:is>
          <x:t xml:space="preserve">Session_Date_ET</x:t>
        </x:is>
      </x:c>
      <x:c r="E5" s="15" t="inlineStr">
        <x:is>
          <x:t xml:space="preserve">Weekday</x:t>
        </x:is>
      </x:c>
      <x:c r="F5" s="15" t="inlineStr">
        <x:is>
          <x:t xml:space="preserve">Week_of_Month</x:t>
        </x:is>
      </x:c>
      <x:c r="G5" s="15" t="inlineStr">
        <x:is>
          <x:t xml:space="preserve">Month</x:t>
        </x:is>
      </x:c>
      <x:c r="H5" s="15" t="inlineStr">
        <x:is>
          <x:t xml:space="preserve">Minutes_Since_Open</x:t>
        </x:is>
      </x:c>
      <x:c r="I5" s="15" t="inlineStr">
        <x:is>
          <x:t xml:space="preserve">Minutes_To_Close</x:t>
        </x:is>
      </x:c>
      <x:c r="J5" s="15" t="inlineStr">
        <x:is>
          <x:t xml:space="preserve">Expiry_Days</x:t>
        </x:is>
      </x:c>
      <x:c r="K5" s="15" t="inlineStr">
        <x:is>
          <x:t xml:space="preserve">Expiry_Cycle</x:t>
        </x:is>
      </x:c>
      <x:c r="L5" s="15" t="inlineStr">
        <x:is>
          <x:t xml:space="preserve">Event_Min_Rem</x:t>
        </x:is>
      </x:c>
      <x:c r="M5" s="15" t="inlineStr">
        <x:is>
          <x:t xml:space="preserve">Event_Window</x:t>
        </x:is>
      </x:c>
      <x:c r="N5" s="15" t="inlineStr">
        <x:is>
          <x:t xml:space="preserve">Gap_bps</x:t>
        </x:is>
      </x:c>
      <x:c r="O5" s="15" t="inlineStr">
        <x:is>
          <x:t xml:space="preserve">RelVol_vs_Curve</x:t>
        </x:is>
      </x:c>
      <x:c r="P5" s="15" t="inlineStr">
        <x:is>
          <x:t xml:space="preserve">RV5_bps</x:t>
        </x:is>
      </x:c>
      <x:c r="Q5" s="15" t="inlineStr">
        <x:is>
          <x:t xml:space="preserve">RV15_bps</x:t>
        </x:is>
      </x:c>
      <x:c r="R5" s="15" t="inlineStr">
        <x:is>
          <x:t xml:space="preserve">Dist_to_VWAP_bps</x:t>
        </x:is>
      </x:c>
      <x:c r="S5" s="15" t="inlineStr">
        <x:is>
          <x:t xml:space="preserve">VWAP_Slope_5m_bps</x:t>
        </x:is>
      </x:c>
      <x:c r="T5" s="15" t="inlineStr">
        <x:is>
          <x:t xml:space="preserve">OR_Width_bps</x:t>
        </x:is>
      </x:c>
      <x:c r="U5" s="15" t="inlineStr">
        <x:is>
          <x:t xml:space="preserve">OR_Breaks</x:t>
        </x:is>
      </x:c>
      <x:c r="V5" s="15" t="inlineStr">
        <x:is>
          <x:t xml:space="preserve">Range5_bps</x:t>
        </x:is>
      </x:c>
      <x:c r="W5" s="15" t="inlineStr">
        <x:is>
          <x:t xml:space="preserve">Impulse_Age_min</x:t>
        </x:is>
      </x:c>
      <x:c r="X5" s="15" t="inlineStr">
        <x:is>
          <x:t xml:space="preserve">Clock_Envelope</x:t>
        </x:is>
      </x:c>
      <x:c r="Y5" s="15" t="inlineStr">
        <x:is>
          <x:t xml:space="preserve">Disorder_Score</x:t>
        </x:is>
      </x:c>
      <x:c r="Z5" s="15" t="inlineStr">
        <x:is>
          <x:t xml:space="preserve">Anchor_Score</x:t>
        </x:is>
      </x:c>
      <x:c r="AA5" s="15" t="inlineStr">
        <x:is>
          <x:t xml:space="preserve">Compression_Score</x:t>
        </x:is>
      </x:c>
      <x:c r="AB5" s="15" t="inlineStr">
        <x:is>
          <x:t xml:space="preserve">Trend_Score</x:t>
        </x:is>
      </x:c>
      <x:c r="AC5" s="15" t="inlineStr">
        <x:is>
          <x:t xml:space="preserve">Close_Score</x:t>
        </x:is>
      </x:c>
      <x:c r="AD5" s="15" t="inlineStr">
        <x:is>
          <x:t xml:space="preserve">Behavioural_Phase</x:t>
        </x:is>
      </x:c>
      <x:c r="AE5" s="15" t="inlineStr">
        <x:is>
          <x:t xml:space="preserve">Expected_Phase</x:t>
        </x:is>
      </x:c>
      <x:c r="AF5" s="15" t="inlineStr">
        <x:is>
          <x:t xml:space="preserve">Test_Result</x:t>
        </x:is>
      </x:c>
    </x:row>
    <x:row r="6" ht="36" customHeight="1">
      <x:c r="A6" s="20" t="inlineStr">
        <x:is>
          <x:t xml:space="preserve">PRE01</x:t>
        </x:is>
      </x:c>
      <x:c r="B6" s="20" t="inlineStr">
        <x:is>
          <x:t xml:space="preserve">Pre-market only — no behavioural read yet</x:t>
        </x:is>
      </x:c>
      <x:c r="C6" s="66" t="n">
        <x:v>46106.36805555555</x:v>
      </x:c>
      <x:c r="D6" s="67" t="n">
        <x:f>INT(C6)</x:f>
        <x:v>46106</x:v>
      </x:c>
      <x:c r="E6" s="20" t="str">
        <x:f>CHOOSE(WEEKDAY(D6,2),"Mon","Tue","Wed","Thu","Fri","Sat","Sun")</x:f>
        <x:v>Wed</x:v>
      </x:c>
      <x:c r="F6" s="20" t="str">
        <x:f>"W"&amp;INT((DAY(D6)-1)/7)+1</x:f>
        <x:v>W4</x:v>
      </x:c>
      <x:c r="G6" s="20" t="str">
        <x:f>CHOOSE(MONTH(D6),"Jan","Feb","Mar","Apr","May","Jun","Jul","Aug","Sep","Oct","Nov","Dec")</x:f>
        <x:v>Mar</x:v>
      </x:c>
      <x:c r="H6" s="20" t="n">
        <x:f>ROUND((MOD(C6,1)-TIME(9,30,0))*1440,0)</x:f>
        <x:v>-40</x:v>
      </x:c>
      <x:c r="I6" s="20" t="n">
        <x:f>ROUND((TIME(16,0,0)-MOD(C6,1))*1440,0)</x:f>
        <x:v>430</x:v>
      </x:c>
      <x:c r="J6" s="65" t="n">
        <x:v>4</x:v>
      </x:c>
      <x:c r="K6" s="20" t="str">
        <x:f>IF(J6="","no_expiry_context",IF(J6=0,"expiry_day",IF(AND(WEEKDAY(D6,2)=1,J6&gt;=4,J6&lt;=7),"post_expiry_reset",IF(J6&lt;=5,"front_week",IF(J6&lt;=14,"next_cycle","far_cycle")))))</x:f>
        <x:v>front_week</x:v>
      </x:c>
      <x:c r="L6" s="65" t="inlineStr">
        <x:is>
          <x:t xml:space="preserve"/>
        </x:is>
      </x:c>
      <x:c r="M6" s="20" t="str">
        <x:f>IF(L6="","clear_window",IF(L6&lt;=0,"event_live_window",IF(L6&lt;=60,"event_imminent_window",IF(L6&lt;=240,"same_session_event_window","clear_window"))))</x:f>
        <x:v>clear_window</x:v>
      </x:c>
      <x:c r="N6" s="65" t="n">
        <x:v>0</x:v>
      </x:c>
      <x:c r="O6" s="65" t="n">
        <x:v>15</x:v>
      </x:c>
      <x:c r="P6" s="65" t="n">
        <x:v>0</x:v>
      </x:c>
      <x:c r="Q6" s="65" t="n">
        <x:v>0</x:v>
      </x:c>
      <x:c r="R6" s="65" t="n">
        <x:v>0</x:v>
      </x:c>
      <x:c r="S6" s="65" t="n">
        <x:v>0</x:v>
      </x:c>
      <x:c r="T6" s="65" t="n">
        <x:v>0</x:v>
      </x:c>
      <x:c r="U6" s="65" t="n">
        <x:v>0</x:v>
      </x:c>
      <x:c r="V6" s="65" t="n">
        <x:v>0</x:v>
      </x:c>
      <x:c r="W6" s="65" t="n">
        <x:v>0</x:v>
      </x:c>
      <x:c r="X6" s="20" t="str">
        <x:f>IF(H6&lt;0,"pre_market",IF(I6&lt;0,"after_hours",IF(I6&lt;=Temporal_Step1_Framework!$I$23,"close",IF(I6&lt;=Temporal_Step1_Framework!$I$22,"late_session",IF(H6&lt;30,"open_clock",IF(H6&lt;120,"early_clock",IF(H6&lt;240,"midday_clock","afternoon_clock")))))))</x:f>
        <x:v>pre_market</x:v>
      </x:c>
      <x:c r="Y6" s="20" t="n">
        <x:f>IF(AND(H6&gt;=0,H6&lt;=90,O6&gt;=Temporal_Step1_Framework!$I$6),1,0)+IF(AND(H6&gt;=0,H6&lt;=90,P6&gt;=Temporal_Step1_Framework!$I$7),1,0)+IF(AND(H6&gt;=0,H6&lt;=90,ABS(R6)&gt;=Temporal_Step1_Framework!$I$8),1,0)+IF(AND(H6&gt;=0,H6&lt;=90,U6&gt;=2),1,0)</x:f>
        <x:v>0</x:v>
      </x:c>
      <x:c r="Z6" s="20" t="n">
        <x:f>IF(AND(H6&gt;=15,H6&lt;=120,ABS(R6)&lt;=Temporal_Step1_Framework!$I$9),1,0)+IF(AND(H6&gt;=15,H6&lt;=120,P6&lt;=Temporal_Step1_Framework!$I$10),1,0)+IF(AND(H6&gt;=15,H6&lt;=120,O6&gt;=Temporal_Step1_Framework!$I$11,O6&lt;=Temporal_Step1_Framework!$I$12),1,0)+IF(AND(H6&gt;=15,H6&lt;=120,W6&gt;=Temporal_Step1_Framework!$I$13),1,0)</x:f>
        <x:v>0</x:v>
      </x:c>
      <x:c r="AA6" s="20" t="n">
        <x:f>IF(AND(H6&gt;=120,I6&gt;90,P6&lt;=Temporal_Step1_Framework!$I$14),1,0)+IF(AND(H6&gt;=120,I6&gt;90,V6&lt;=Temporal_Step1_Framework!$I$15),1,0)+IF(AND(H6&gt;=120,I6&gt;90,ABS(R6)&lt;=Temporal_Step1_Framework!$I$16),1,0)+IF(AND(H6&gt;=120,I6&gt;90,O6&lt;=Temporal_Step1_Framework!$I$17),1,0)</x:f>
        <x:v>0</x:v>
      </x:c>
      <x:c r="AB6" s="20" t="n">
        <x:f>IF(AND(H6&gt;=45,I6&gt;90,ABS(S6)&gt;=Temporal_Step1_Framework!$I$18),1,0)+IF(AND(H6&gt;=45,I6&gt;90,ABS(R6)&gt;=Temporal_Step1_Framework!$I$19),1,0)+IF(AND(H6&gt;=45,I6&gt;90,O6&gt;=Temporal_Step1_Framework!$I$20),1,0)+IF(AND(H6&gt;=45,I6&gt;90,W6&lt;=Temporal_Step1_Framework!$I$21),1,0)</x:f>
        <x:v>0</x:v>
      </x:c>
      <x:c r="AC6" s="20" t="n">
        <x:f>IF(I6&lt;=Temporal_Step1_Framework!$I$23,2,0)+IF(AND(I6&lt;=Temporal_Step1_Framework!$I$22,I6&gt;Temporal_Step1_Framework!$I$23),1,0)+IF(AND(I6&lt;=Temporal_Step1_Framework!$I$22,O6&gt;=1.10),1,0)+IF(AND(I6&lt;=Temporal_Step1_Framework!$I$22,ABS(S6)&gt;=10),1,0)</x:f>
        <x:v>0</x:v>
      </x:c>
      <x:c r="AD6" s="20" t="str">
        <x:f>IF(H6&lt;0,"pre_market",IF(I6&lt;0,"after_hours",IF(I6&lt;=Temporal_Step1_Framework!$I$23,"dealer_unwind_close",IF(AND(I6&lt;=Temporal_Step1_Framework!$I$22,AC6&gt;=2),"power_hour",IF(Y6&gt;=2,"open_discovery",IF(AA6&gt;=3,"midday_compression",IF(AB6&gt;=3,"trend_persistence",IF(Z6&gt;=3,"early_anchor","unclear_transition"))))))))</x:f>
        <x:v>pre_market</x:v>
      </x:c>
      <x:c r="AE6" s="12" t="inlineStr">
        <x:is>
          <x:t xml:space="preserve">pre_market</x:t>
        </x:is>
      </x:c>
      <x:c r="AF6" s="68" t="str">
        <x:f>IF(AD6=AE6,"PASS","CHECK")</x:f>
        <x:v>PASS</x:v>
      </x:c>
    </x:row>
    <x:row r="7" ht="36" customHeight="1">
      <x:c r="A7" s="20" t="inlineStr">
        <x:is>
          <x:t xml:space="preserve">OD01</x:t>
        </x:is>
      </x:c>
      <x:c r="B7" s="20" t="inlineStr">
        <x:is>
          <x:t xml:space="preserve">Open still chaotic at 09:37</x:t>
        </x:is>
      </x:c>
      <x:c r="C7" s="66" t="n">
        <x:v>46106.40069444444</x:v>
      </x:c>
      <x:c r="D7" s="67" t="n">
        <x:f>INT(C7)</x:f>
        <x:v>46106</x:v>
      </x:c>
      <x:c r="E7" s="20" t="str">
        <x:f>CHOOSE(WEEKDAY(D7,2),"Mon","Tue","Wed","Thu","Fri","Sat","Sun")</x:f>
        <x:v>Wed</x:v>
      </x:c>
      <x:c r="F7" s="20" t="str">
        <x:f>"W"&amp;INT((DAY(D7)-1)/7)+1</x:f>
        <x:v>W4</x:v>
      </x:c>
      <x:c r="G7" s="20" t="str">
        <x:f>CHOOSE(MONTH(D7),"Jan","Feb","Mar","Apr","May","Jun","Jul","Aug","Sep","Oct","Nov","Dec")</x:f>
        <x:v>Mar</x:v>
      </x:c>
      <x:c r="H7" s="20" t="n">
        <x:f>ROUND((MOD(C7,1)-TIME(9,30,0))*1440,0)</x:f>
        <x:v>7</x:v>
      </x:c>
      <x:c r="I7" s="20" t="n">
        <x:f>ROUND((TIME(16,0,0)-MOD(C7,1))*1440,0)</x:f>
        <x:v>383</x:v>
      </x:c>
      <x:c r="J7" s="65" t="n">
        <x:v>2</x:v>
      </x:c>
      <x:c r="K7" s="20" t="str">
        <x:f>IF(J7="","no_expiry_context",IF(J7=0,"expiry_day",IF(AND(WEEKDAY(D7,2)=1,J7&gt;=4,J7&lt;=7),"post_expiry_reset",IF(J7&lt;=5,"front_week",IF(J7&lt;=14,"next_cycle","far_cycle")))))</x:f>
        <x:v>front_week</x:v>
      </x:c>
      <x:c r="L7" s="65" t="n">
        <x:v>-999</x:v>
      </x:c>
      <x:c r="M7" s="20" t="str">
        <x:f>IF(L7="","clear_window",IF(L7&lt;=0,"event_live_window",IF(L7&lt;=60,"event_imminent_window",IF(L7&lt;=240,"same_session_event_window","clear_window"))))</x:f>
        <x:v>event_live_window</x:v>
      </x:c>
      <x:c r="N7" s="65" t="n">
        <x:v>0</x:v>
      </x:c>
      <x:c r="O7" s="64" t="n">
        <x:v>2.1</x:v>
      </x:c>
      <x:c r="P7" s="65" t="n">
        <x:v>125</x:v>
      </x:c>
      <x:c r="Q7" s="65" t="n">
        <x:v>140</x:v>
      </x:c>
      <x:c r="R7" s="65" t="n">
        <x:v>92</x:v>
      </x:c>
      <x:c r="S7" s="65" t="n">
        <x:v>18</x:v>
      </x:c>
      <x:c r="T7" s="65" t="n">
        <x:v>140</x:v>
      </x:c>
      <x:c r="U7" s="65" t="n">
        <x:v>3</x:v>
      </x:c>
      <x:c r="V7" s="65" t="n">
        <x:v>120</x:v>
      </x:c>
      <x:c r="W7" s="65" t="n">
        <x:v>1</x:v>
      </x:c>
      <x:c r="X7" s="20" t="str">
        <x:f>IF(H7&lt;0,"pre_market",IF(I7&lt;0,"after_hours",IF(I7&lt;=Temporal_Step1_Framework!$I$23,"close",IF(I7&lt;=Temporal_Step1_Framework!$I$22,"late_session",IF(H7&lt;30,"open_clock",IF(H7&lt;120,"early_clock",IF(H7&lt;240,"midday_clock","afternoon_clock")))))))</x:f>
        <x:v>open_clock</x:v>
      </x:c>
      <x:c r="Y7" s="20" t="n">
        <x:f>IF(AND(H7&gt;=0,H7&lt;=90,O7&gt;=Temporal_Step1_Framework!$I$6),1,0)+IF(AND(H7&gt;=0,H7&lt;=90,P7&gt;=Temporal_Step1_Framework!$I$7),1,0)+IF(AND(H7&gt;=0,H7&lt;=90,ABS(R7)&gt;=Temporal_Step1_Framework!$I$8),1,0)+IF(AND(H7&gt;=0,H7&lt;=90,U7&gt;=2),1,0)</x:f>
        <x:v>4</x:v>
      </x:c>
      <x:c r="Z7" s="20" t="n">
        <x:f>IF(AND(H7&gt;=15,H7&lt;=120,ABS(R7)&lt;=Temporal_Step1_Framework!$I$9),1,0)+IF(AND(H7&gt;=15,H7&lt;=120,P7&lt;=Temporal_Step1_Framework!$I$10),1,0)+IF(AND(H7&gt;=15,H7&lt;=120,O7&gt;=Temporal_Step1_Framework!$I$11,O7&lt;=Temporal_Step1_Framework!$I$12),1,0)+IF(AND(H7&gt;=15,H7&lt;=120,W7&gt;=Temporal_Step1_Framework!$I$13),1,0)</x:f>
        <x:v>0</x:v>
      </x:c>
      <x:c r="AA7" s="20" t="n">
        <x:f>IF(AND(H7&gt;=120,I7&gt;90,P7&lt;=Temporal_Step1_Framework!$I$14),1,0)+IF(AND(H7&gt;=120,I7&gt;90,V7&lt;=Temporal_Step1_Framework!$I$15),1,0)+IF(AND(H7&gt;=120,I7&gt;90,ABS(R7)&lt;=Temporal_Step1_Framework!$I$16),1,0)+IF(AND(H7&gt;=120,I7&gt;90,O7&lt;=Temporal_Step1_Framework!$I$17),1,0)</x:f>
        <x:v>0</x:v>
      </x:c>
      <x:c r="AB7" s="20" t="n">
        <x:f>IF(AND(H7&gt;=45,I7&gt;90,ABS(S7)&gt;=Temporal_Step1_Framework!$I$18),1,0)+IF(AND(H7&gt;=45,I7&gt;90,ABS(R7)&gt;=Temporal_Step1_Framework!$I$19),1,0)+IF(AND(H7&gt;=45,I7&gt;90,O7&gt;=Temporal_Step1_Framework!$I$20),1,0)+IF(AND(H7&gt;=45,I7&gt;90,W7&lt;=Temporal_Step1_Framework!$I$21),1,0)</x:f>
        <x:v>0</x:v>
      </x:c>
      <x:c r="AC7" s="20" t="n">
        <x:f>IF(I7&lt;=Temporal_Step1_Framework!$I$23,2,0)+IF(AND(I7&lt;=Temporal_Step1_Framework!$I$22,I7&gt;Temporal_Step1_Framework!$I$23),1,0)+IF(AND(I7&lt;=Temporal_Step1_Framework!$I$22,O7&gt;=1.10),1,0)+IF(AND(I7&lt;=Temporal_Step1_Framework!$I$22,ABS(S7)&gt;=10),1,0)</x:f>
        <x:v>0</x:v>
      </x:c>
      <x:c r="AD7" s="20" t="str">
        <x:f>IF(H7&lt;0,"pre_market",IF(I7&lt;0,"after_hours",IF(I7&lt;=Temporal_Step1_Framework!$I$23,"dealer_unwind_close",IF(AND(I7&lt;=Temporal_Step1_Framework!$I$22,AC7&gt;=2),"power_hour",IF(Y7&gt;=2,"open_discovery",IF(AA7&gt;=3,"midday_compression",IF(AB7&gt;=3,"trend_persistence",IF(Z7&gt;=3,"early_anchor","unclear_transition"))))))))</x:f>
        <x:v>open_discovery</x:v>
      </x:c>
      <x:c r="AE7" s="12" t="inlineStr">
        <x:is>
          <x:t xml:space="preserve">open_discovery</x:t>
        </x:is>
      </x:c>
      <x:c r="AF7" s="68" t="str">
        <x:f>IF(AD7=AE7,"PASS","CHECK")</x:f>
        <x:v>PASS</x:v>
      </x:c>
    </x:row>
    <x:row r="8" ht="36" customHeight="1">
      <x:c r="A8" s="20" t="inlineStr">
        <x:is>
          <x:t xml:space="preserve">EA01</x:t>
        </x:is>
      </x:c>
      <x:c r="B8" s="20" t="inlineStr">
        <x:is>
          <x:t xml:space="preserve">Orderly anchor by 09:52</x:t>
        </x:is>
      </x:c>
      <x:c r="C8" s="66" t="n">
        <x:v>46106.41111111111</x:v>
      </x:c>
      <x:c r="D8" s="67" t="n">
        <x:f>INT(C8)</x:f>
        <x:v>46106</x:v>
      </x:c>
      <x:c r="E8" s="20" t="str">
        <x:f>CHOOSE(WEEKDAY(D8,2),"Mon","Tue","Wed","Thu","Fri","Sat","Sun")</x:f>
        <x:v>Wed</x:v>
      </x:c>
      <x:c r="F8" s="20" t="str">
        <x:f>"W"&amp;INT((DAY(D8)-1)/7)+1</x:f>
        <x:v>W4</x:v>
      </x:c>
      <x:c r="G8" s="20" t="str">
        <x:f>CHOOSE(MONTH(D8),"Jan","Feb","Mar","Apr","May","Jun","Jul","Aug","Sep","Oct","Nov","Dec")</x:f>
        <x:v>Mar</x:v>
      </x:c>
      <x:c r="H8" s="20" t="n">
        <x:f>ROUND((MOD(C8,1)-TIME(9,30,0))*1440,0)</x:f>
        <x:v>22</x:v>
      </x:c>
      <x:c r="I8" s="20" t="n">
        <x:f>ROUND((TIME(16,0,0)-MOD(C8,1))*1440,0)</x:f>
        <x:v>368</x:v>
      </x:c>
      <x:c r="J8" s="65" t="n">
        <x:v>2</x:v>
      </x:c>
      <x:c r="K8" s="20" t="str">
        <x:f>IF(J8="","no_expiry_context",IF(J8=0,"expiry_day",IF(AND(WEEKDAY(D8,2)=1,J8&gt;=4,J8&lt;=7),"post_expiry_reset",IF(J8&lt;=5,"front_week",IF(J8&lt;=14,"next_cycle","far_cycle")))))</x:f>
        <x:v>front_week</x:v>
      </x:c>
      <x:c r="L8" s="65" t="n">
        <x:v>999</x:v>
      </x:c>
      <x:c r="M8" s="20" t="str">
        <x:f>IF(L8="","clear_window",IF(L8&lt;=0,"event_live_window",IF(L8&lt;=60,"event_imminent_window",IF(L8&lt;=240,"same_session_event_window","clear_window"))))</x:f>
        <x:v>clear_window</x:v>
      </x:c>
      <x:c r="N8" s="65" t="n">
        <x:v>0</x:v>
      </x:c>
      <x:c r="O8" s="64" t="n">
        <x:v>1.15</x:v>
      </x:c>
      <x:c r="P8" s="65" t="n">
        <x:v>48</x:v>
      </x:c>
      <x:c r="Q8" s="65" t="n">
        <x:v>70</x:v>
      </x:c>
      <x:c r="R8" s="65" t="n">
        <x:v>18</x:v>
      </x:c>
      <x:c r="S8" s="65" t="n">
        <x:v>6</x:v>
      </x:c>
      <x:c r="T8" s="65" t="n">
        <x:v>110</x:v>
      </x:c>
      <x:c r="U8" s="65" t="n">
        <x:v>1</x:v>
      </x:c>
      <x:c r="V8" s="65" t="n">
        <x:v>55</x:v>
      </x:c>
      <x:c r="W8" s="65" t="n">
        <x:v>8</x:v>
      </x:c>
      <x:c r="X8" s="20" t="str">
        <x:f>IF(H8&lt;0,"pre_market",IF(I8&lt;0,"after_hours",IF(I8&lt;=Temporal_Step1_Framework!$I$23,"close",IF(I8&lt;=Temporal_Step1_Framework!$I$22,"late_session",IF(H8&lt;30,"open_clock",IF(H8&lt;120,"early_clock",IF(H8&lt;240,"midday_clock","afternoon_clock")))))))</x:f>
        <x:v>open_clock</x:v>
      </x:c>
      <x:c r="Y8" s="20" t="n">
        <x:f>IF(AND(H8&gt;=0,H8&lt;=90,O8&gt;=Temporal_Step1_Framework!$I$6),1,0)+IF(AND(H8&gt;=0,H8&lt;=90,P8&gt;=Temporal_Step1_Framework!$I$7),1,0)+IF(AND(H8&gt;=0,H8&lt;=90,ABS(R8)&gt;=Temporal_Step1_Framework!$I$8),1,0)+IF(AND(H8&gt;=0,H8&lt;=90,U8&gt;=2),1,0)</x:f>
        <x:v>0</x:v>
      </x:c>
      <x:c r="Z8" s="20" t="n">
        <x:f>IF(AND(H8&gt;=15,H8&lt;=120,ABS(R8)&lt;=Temporal_Step1_Framework!$I$9),1,0)+IF(AND(H8&gt;=15,H8&lt;=120,P8&lt;=Temporal_Step1_Framework!$I$10),1,0)+IF(AND(H8&gt;=15,H8&lt;=120,O8&gt;=Temporal_Step1_Framework!$I$11,O8&lt;=Temporal_Step1_Framework!$I$12),1,0)+IF(AND(H8&gt;=15,H8&lt;=120,W8&gt;=Temporal_Step1_Framework!$I$13),1,0)</x:f>
        <x:v>4</x:v>
      </x:c>
      <x:c r="AA8" s="20" t="n">
        <x:f>IF(AND(H8&gt;=120,I8&gt;90,P8&lt;=Temporal_Step1_Framework!$I$14),1,0)+IF(AND(H8&gt;=120,I8&gt;90,V8&lt;=Temporal_Step1_Framework!$I$15),1,0)+IF(AND(H8&gt;=120,I8&gt;90,ABS(R8)&lt;=Temporal_Step1_Framework!$I$16),1,0)+IF(AND(H8&gt;=120,I8&gt;90,O8&lt;=Temporal_Step1_Framework!$I$17),1,0)</x:f>
        <x:v>0</x:v>
      </x:c>
      <x:c r="AB8" s="20" t="n">
        <x:f>IF(AND(H8&gt;=45,I8&gt;90,ABS(S8)&gt;=Temporal_Step1_Framework!$I$18),1,0)+IF(AND(H8&gt;=45,I8&gt;90,ABS(R8)&gt;=Temporal_Step1_Framework!$I$19),1,0)+IF(AND(H8&gt;=45,I8&gt;90,O8&gt;=Temporal_Step1_Framework!$I$20),1,0)+IF(AND(H8&gt;=45,I8&gt;90,W8&lt;=Temporal_Step1_Framework!$I$21),1,0)</x:f>
        <x:v>0</x:v>
      </x:c>
      <x:c r="AC8" s="20" t="n">
        <x:f>IF(I8&lt;=Temporal_Step1_Framework!$I$23,2,0)+IF(AND(I8&lt;=Temporal_Step1_Framework!$I$22,I8&gt;Temporal_Step1_Framework!$I$23),1,0)+IF(AND(I8&lt;=Temporal_Step1_Framework!$I$22,O8&gt;=1.10),1,0)+IF(AND(I8&lt;=Temporal_Step1_Framework!$I$22,ABS(S8)&gt;=10),1,0)</x:f>
        <x:v>0</x:v>
      </x:c>
      <x:c r="AD8" s="20" t="str">
        <x:f>IF(H8&lt;0,"pre_market",IF(I8&lt;0,"after_hours",IF(I8&lt;=Temporal_Step1_Framework!$I$23,"dealer_unwind_close",IF(AND(I8&lt;=Temporal_Step1_Framework!$I$22,AC8&gt;=2),"power_hour",IF(Y8&gt;=2,"open_discovery",IF(AA8&gt;=3,"midday_compression",IF(AB8&gt;=3,"trend_persistence",IF(Z8&gt;=3,"early_anchor","unclear_transition"))))))))</x:f>
        <x:v>early_anchor</x:v>
      </x:c>
      <x:c r="AE8" s="12" t="inlineStr">
        <x:is>
          <x:t xml:space="preserve">early_anchor</x:t>
        </x:is>
      </x:c>
      <x:c r="AF8" s="68" t="str">
        <x:f>IF(AD8=AE8,"PASS","CHECK")</x:f>
        <x:v>PASS</x:v>
      </x:c>
    </x:row>
    <x:row r="9" ht="36" customHeight="1">
      <x:c r="A9" s="20" t="inlineStr">
        <x:is>
          <x:t xml:space="preserve">MC01</x:t>
        </x:is>
      </x:c>
      <x:c r="B9" s="20" t="inlineStr">
        <x:is>
          <x:t xml:space="preserve">Midday compression at 11:38</x:t>
        </x:is>
      </x:c>
      <x:c r="C9" s="66" t="n">
        <x:v>46106.48472222222</x:v>
      </x:c>
      <x:c r="D9" s="67" t="n">
        <x:f>INT(C9)</x:f>
        <x:v>46106</x:v>
      </x:c>
      <x:c r="E9" s="20" t="str">
        <x:f>CHOOSE(WEEKDAY(D9,2),"Mon","Tue","Wed","Thu","Fri","Sat","Sun")</x:f>
        <x:v>Wed</x:v>
      </x:c>
      <x:c r="F9" s="20" t="str">
        <x:f>"W"&amp;INT((DAY(D9)-1)/7)+1</x:f>
        <x:v>W4</x:v>
      </x:c>
      <x:c r="G9" s="20" t="str">
        <x:f>CHOOSE(MONTH(D9),"Jan","Feb","Mar","Apr","May","Jun","Jul","Aug","Sep","Oct","Nov","Dec")</x:f>
        <x:v>Mar</x:v>
      </x:c>
      <x:c r="H9" s="20" t="n">
        <x:f>ROUND((MOD(C9,1)-TIME(9,30,0))*1440,0)</x:f>
        <x:v>128</x:v>
      </x:c>
      <x:c r="I9" s="20" t="n">
        <x:f>ROUND((TIME(16,0,0)-MOD(C9,1))*1440,0)</x:f>
        <x:v>262</x:v>
      </x:c>
      <x:c r="J9" s="65" t="n">
        <x:v>9</x:v>
      </x:c>
      <x:c r="K9" s="20" t="str">
        <x:f>IF(J9="","no_expiry_context",IF(J9=0,"expiry_day",IF(AND(WEEKDAY(D9,2)=1,J9&gt;=4,J9&lt;=7),"post_expiry_reset",IF(J9&lt;=5,"front_week",IF(J9&lt;=14,"next_cycle","far_cycle")))))</x:f>
        <x:v>next_cycle</x:v>
      </x:c>
      <x:c r="L9" s="65" t="n">
        <x:v>999</x:v>
      </x:c>
      <x:c r="M9" s="20" t="str">
        <x:f>IF(L9="","clear_window",IF(L9&lt;=0,"event_live_window",IF(L9&lt;=60,"event_imminent_window",IF(L9&lt;=240,"same_session_event_window","clear_window"))))</x:f>
        <x:v>clear_window</x:v>
      </x:c>
      <x:c r="N9" s="65" t="n">
        <x:v>0</x:v>
      </x:c>
      <x:c r="O9" s="64" t="n">
        <x:v>0.72</x:v>
      </x:c>
      <x:c r="P9" s="65" t="n">
        <x:v>22</x:v>
      </x:c>
      <x:c r="Q9" s="65" t="n">
        <x:v>28</x:v>
      </x:c>
      <x:c r="R9" s="65" t="n">
        <x:v>10</x:v>
      </x:c>
      <x:c r="S9" s="65" t="n">
        <x:v>2</x:v>
      </x:c>
      <x:c r="T9" s="65" t="n">
        <x:v>115</x:v>
      </x:c>
      <x:c r="U9" s="65" t="n">
        <x:v>0</x:v>
      </x:c>
      <x:c r="V9" s="65" t="n">
        <x:v>20</x:v>
      </x:c>
      <x:c r="W9" s="65" t="n">
        <x:v>18</x:v>
      </x:c>
      <x:c r="X9" s="20" t="str">
        <x:f>IF(H9&lt;0,"pre_market",IF(I9&lt;0,"after_hours",IF(I9&lt;=Temporal_Step1_Framework!$I$23,"close",IF(I9&lt;=Temporal_Step1_Framework!$I$22,"late_session",IF(H9&lt;30,"open_clock",IF(H9&lt;120,"early_clock",IF(H9&lt;240,"midday_clock","afternoon_clock")))))))</x:f>
        <x:v>midday_clock</x:v>
      </x:c>
      <x:c r="Y9" s="20" t="n">
        <x:f>IF(AND(H9&gt;=0,H9&lt;=90,O9&gt;=Temporal_Step1_Framework!$I$6),1,0)+IF(AND(H9&gt;=0,H9&lt;=90,P9&gt;=Temporal_Step1_Framework!$I$7),1,0)+IF(AND(H9&gt;=0,H9&lt;=90,ABS(R9)&gt;=Temporal_Step1_Framework!$I$8),1,0)+IF(AND(H9&gt;=0,H9&lt;=90,U9&gt;=2),1,0)</x:f>
        <x:v>0</x:v>
      </x:c>
      <x:c r="Z9" s="20" t="n">
        <x:f>IF(AND(H9&gt;=15,H9&lt;=120,ABS(R9)&lt;=Temporal_Step1_Framework!$I$9),1,0)+IF(AND(H9&gt;=15,H9&lt;=120,P9&lt;=Temporal_Step1_Framework!$I$10),1,0)+IF(AND(H9&gt;=15,H9&lt;=120,O9&gt;=Temporal_Step1_Framework!$I$11,O9&lt;=Temporal_Step1_Framework!$I$12),1,0)+IF(AND(H9&gt;=15,H9&lt;=120,W9&gt;=Temporal_Step1_Framework!$I$13),1,0)</x:f>
        <x:v>0</x:v>
      </x:c>
      <x:c r="AA9" s="20" t="n">
        <x:f>IF(AND(H9&gt;=120,I9&gt;90,P9&lt;=Temporal_Step1_Framework!$I$14),1,0)+IF(AND(H9&gt;=120,I9&gt;90,V9&lt;=Temporal_Step1_Framework!$I$15),1,0)+IF(AND(H9&gt;=120,I9&gt;90,ABS(R9)&lt;=Temporal_Step1_Framework!$I$16),1,0)+IF(AND(H9&gt;=120,I9&gt;90,O9&lt;=Temporal_Step1_Framework!$I$17),1,0)</x:f>
        <x:v>4</x:v>
      </x:c>
      <x:c r="AB9" s="20" t="n">
        <x:f>IF(AND(H9&gt;=45,I9&gt;90,ABS(S9)&gt;=Temporal_Step1_Framework!$I$18),1,0)+IF(AND(H9&gt;=45,I9&gt;90,ABS(R9)&gt;=Temporal_Step1_Framework!$I$19),1,0)+IF(AND(H9&gt;=45,I9&gt;90,O9&gt;=Temporal_Step1_Framework!$I$20),1,0)+IF(AND(H9&gt;=45,I9&gt;90,W9&lt;=Temporal_Step1_Framework!$I$21),1,0)</x:f>
        <x:v>0</x:v>
      </x:c>
      <x:c r="AC9" s="20" t="n">
        <x:f>IF(I9&lt;=Temporal_Step1_Framework!$I$23,2,0)+IF(AND(I9&lt;=Temporal_Step1_Framework!$I$22,I9&gt;Temporal_Step1_Framework!$I$23),1,0)+IF(AND(I9&lt;=Temporal_Step1_Framework!$I$22,O9&gt;=1.10),1,0)+IF(AND(I9&lt;=Temporal_Step1_Framework!$I$22,ABS(S9)&gt;=10),1,0)</x:f>
        <x:v>0</x:v>
      </x:c>
      <x:c r="AD9" s="20" t="str">
        <x:f>IF(H9&lt;0,"pre_market",IF(I9&lt;0,"after_hours",IF(I9&lt;=Temporal_Step1_Framework!$I$23,"dealer_unwind_close",IF(AND(I9&lt;=Temporal_Step1_Framework!$I$22,AC9&gt;=2),"power_hour",IF(Y9&gt;=2,"open_discovery",IF(AA9&gt;=3,"midday_compression",IF(AB9&gt;=3,"trend_persistence",IF(Z9&gt;=3,"early_anchor","unclear_transition"))))))))</x:f>
        <x:v>midday_compression</x:v>
      </x:c>
      <x:c r="AE9" s="12" t="inlineStr">
        <x:is>
          <x:t xml:space="preserve">midday_compression</x:t>
        </x:is>
      </x:c>
      <x:c r="AF9" s="68" t="str">
        <x:f>IF(AD9=AE9,"PASS","CHECK")</x:f>
        <x:v>PASS</x:v>
      </x:c>
    </x:row>
    <x:row r="10" ht="36" customHeight="1">
      <x:c r="A10" s="20" t="inlineStr">
        <x:is>
          <x:t xml:space="preserve">TP01</x:t>
        </x:is>
      </x:c>
      <x:c r="B10" s="20" t="inlineStr">
        <x:is>
          <x:t xml:space="preserve">Afternoon trend persistence at 13:42</x:t>
        </x:is>
      </x:c>
      <x:c r="C10" s="66" t="n">
        <x:v>46106.57083333333</x:v>
      </x:c>
      <x:c r="D10" s="67" t="n">
        <x:f>INT(C10)</x:f>
        <x:v>46106</x:v>
      </x:c>
      <x:c r="E10" s="20" t="str">
        <x:f>CHOOSE(WEEKDAY(D10,2),"Mon","Tue","Wed","Thu","Fri","Sat","Sun")</x:f>
        <x:v>Wed</x:v>
      </x:c>
      <x:c r="F10" s="20" t="str">
        <x:f>"W"&amp;INT((DAY(D10)-1)/7)+1</x:f>
        <x:v>W4</x:v>
      </x:c>
      <x:c r="G10" s="20" t="str">
        <x:f>CHOOSE(MONTH(D10),"Jan","Feb","Mar","Apr","May","Jun","Jul","Aug","Sep","Oct","Nov","Dec")</x:f>
        <x:v>Mar</x:v>
      </x:c>
      <x:c r="H10" s="20" t="n">
        <x:f>ROUND((MOD(C10,1)-TIME(9,30,0))*1440,0)</x:f>
        <x:v>252</x:v>
      </x:c>
      <x:c r="I10" s="20" t="n">
        <x:f>ROUND((TIME(16,0,0)-MOD(C10,1))*1440,0)</x:f>
        <x:v>138</x:v>
      </x:c>
      <x:c r="J10" s="65" t="n">
        <x:v>2</x:v>
      </x:c>
      <x:c r="K10" s="20" t="str">
        <x:f>IF(J10="","no_expiry_context",IF(J10=0,"expiry_day",IF(AND(WEEKDAY(D10,2)=1,J10&gt;=4,J10&lt;=7),"post_expiry_reset",IF(J10&lt;=5,"front_week",IF(J10&lt;=14,"next_cycle","far_cycle")))))</x:f>
        <x:v>front_week</x:v>
      </x:c>
      <x:c r="L10" s="65" t="n">
        <x:v>999</x:v>
      </x:c>
      <x:c r="M10" s="20" t="str">
        <x:f>IF(L10="","clear_window",IF(L10&lt;=0,"event_live_window",IF(L10&lt;=60,"event_imminent_window",IF(L10&lt;=240,"same_session_event_window","clear_window"))))</x:f>
        <x:v>clear_window</x:v>
      </x:c>
      <x:c r="N10" s="65" t="n">
        <x:v>0</x:v>
      </x:c>
      <x:c r="O10" s="64" t="n">
        <x:v>1.18</x:v>
      </x:c>
      <x:c r="P10" s="65" t="n">
        <x:v>58</x:v>
      </x:c>
      <x:c r="Q10" s="65" t="n">
        <x:v>64</x:v>
      </x:c>
      <x:c r="R10" s="65" t="n">
        <x:v>48</x:v>
      </x:c>
      <x:c r="S10" s="65" t="n">
        <x:v>24</x:v>
      </x:c>
      <x:c r="T10" s="65" t="n">
        <x:v>130</x:v>
      </x:c>
      <x:c r="U10" s="65" t="n">
        <x:v>1</x:v>
      </x:c>
      <x:c r="V10" s="65" t="n">
        <x:v>70</x:v>
      </x:c>
      <x:c r="W10" s="65" t="n">
        <x:v>3</x:v>
      </x:c>
      <x:c r="X10" s="20" t="str">
        <x:f>IF(H10&lt;0,"pre_market",IF(I10&lt;0,"after_hours",IF(I10&lt;=Temporal_Step1_Framework!$I$23,"close",IF(I10&lt;=Temporal_Step1_Framework!$I$22,"late_session",IF(H10&lt;30,"open_clock",IF(H10&lt;120,"early_clock",IF(H10&lt;240,"midday_clock","afternoon_clock")))))))</x:f>
        <x:v>afternoon_clock</x:v>
      </x:c>
      <x:c r="Y10" s="20" t="n">
        <x:f>IF(AND(H10&gt;=0,H10&lt;=90,O10&gt;=Temporal_Step1_Framework!$I$6),1,0)+IF(AND(H10&gt;=0,H10&lt;=90,P10&gt;=Temporal_Step1_Framework!$I$7),1,0)+IF(AND(H10&gt;=0,H10&lt;=90,ABS(R10)&gt;=Temporal_Step1_Framework!$I$8),1,0)+IF(AND(H10&gt;=0,H10&lt;=90,U10&gt;=2),1,0)</x:f>
        <x:v>0</x:v>
      </x:c>
      <x:c r="Z10" s="20" t="n">
        <x:f>IF(AND(H10&gt;=15,H10&lt;=120,ABS(R10)&lt;=Temporal_Step1_Framework!$I$9),1,0)+IF(AND(H10&gt;=15,H10&lt;=120,P10&lt;=Temporal_Step1_Framework!$I$10),1,0)+IF(AND(H10&gt;=15,H10&lt;=120,O10&gt;=Temporal_Step1_Framework!$I$11,O10&lt;=Temporal_Step1_Framework!$I$12),1,0)+IF(AND(H10&gt;=15,H10&lt;=120,W10&gt;=Temporal_Step1_Framework!$I$13),1,0)</x:f>
        <x:v>0</x:v>
      </x:c>
      <x:c r="AA10" s="20" t="n">
        <x:f>IF(AND(H10&gt;=120,I10&gt;90,P10&lt;=Temporal_Step1_Framework!$I$14),1,0)+IF(AND(H10&gt;=120,I10&gt;90,V10&lt;=Temporal_Step1_Framework!$I$15),1,0)+IF(AND(H10&gt;=120,I10&gt;90,ABS(R10)&lt;=Temporal_Step1_Framework!$I$16),1,0)+IF(AND(H10&gt;=120,I10&gt;90,O10&lt;=Temporal_Step1_Framework!$I$17),1,0)</x:f>
        <x:v>0</x:v>
      </x:c>
      <x:c r="AB10" s="20" t="n">
        <x:f>IF(AND(H10&gt;=45,I10&gt;90,ABS(S10)&gt;=Temporal_Step1_Framework!$I$18),1,0)+IF(AND(H10&gt;=45,I10&gt;90,ABS(R10)&gt;=Temporal_Step1_Framework!$I$19),1,0)+IF(AND(H10&gt;=45,I10&gt;90,O10&gt;=Temporal_Step1_Framework!$I$20),1,0)+IF(AND(H10&gt;=45,I10&gt;90,W10&lt;=Temporal_Step1_Framework!$I$21),1,0)</x:f>
        <x:v>4</x:v>
      </x:c>
      <x:c r="AC10" s="20" t="n">
        <x:f>IF(I10&lt;=Temporal_Step1_Framework!$I$23,2,0)+IF(AND(I10&lt;=Temporal_Step1_Framework!$I$22,I10&gt;Temporal_Step1_Framework!$I$23),1,0)+IF(AND(I10&lt;=Temporal_Step1_Framework!$I$22,O10&gt;=1.10),1,0)+IF(AND(I10&lt;=Temporal_Step1_Framework!$I$22,ABS(S10)&gt;=10),1,0)</x:f>
        <x:v>0</x:v>
      </x:c>
      <x:c r="AD10" s="20" t="str">
        <x:f>IF(H10&lt;0,"pre_market",IF(I10&lt;0,"after_hours",IF(I10&lt;=Temporal_Step1_Framework!$I$23,"dealer_unwind_close",IF(AND(I10&lt;=Temporal_Step1_Framework!$I$22,AC10&gt;=2),"power_hour",IF(Y10&gt;=2,"open_discovery",IF(AA10&gt;=3,"midday_compression",IF(AB10&gt;=3,"trend_persistence",IF(Z10&gt;=3,"early_anchor","unclear_transition"))))))))</x:f>
        <x:v>trend_persistence</x:v>
      </x:c>
      <x:c r="AE10" s="12" t="inlineStr">
        <x:is>
          <x:t xml:space="preserve">trend_persistence</x:t>
        </x:is>
      </x:c>
      <x:c r="AF10" s="68" t="str">
        <x:f>IF(AD10=AE10,"PASS","CHECK")</x:f>
        <x:v>PASS</x:v>
      </x:c>
    </x:row>
    <x:row r="11" ht="36" customHeight="1">
      <x:c r="A11" s="20" t="inlineStr">
        <x:is>
          <x:t xml:space="preserve">PH01</x:t>
        </x:is>
      </x:c>
      <x:c r="B11" s="20" t="inlineStr">
        <x:is>
          <x:t xml:space="preserve">Power hour but not yet unwind at 15:10</x:t>
        </x:is>
      </x:c>
      <x:c r="C11" s="66" t="n">
        <x:v>46106.63194444445</x:v>
      </x:c>
      <x:c r="D11" s="67" t="n">
        <x:f>INT(C11)</x:f>
        <x:v>46106</x:v>
      </x:c>
      <x:c r="E11" s="20" t="str">
        <x:f>CHOOSE(WEEKDAY(D11,2),"Mon","Tue","Wed","Thu","Fri","Sat","Sun")</x:f>
        <x:v>Wed</x:v>
      </x:c>
      <x:c r="F11" s="20" t="str">
        <x:f>"W"&amp;INT((DAY(D11)-1)/7)+1</x:f>
        <x:v>W4</x:v>
      </x:c>
      <x:c r="G11" s="20" t="str">
        <x:f>CHOOSE(MONTH(D11),"Jan","Feb","Mar","Apr","May","Jun","Jul","Aug","Sep","Oct","Nov","Dec")</x:f>
        <x:v>Mar</x:v>
      </x:c>
      <x:c r="H11" s="20" t="n">
        <x:f>ROUND((MOD(C11,1)-TIME(9,30,0))*1440,0)</x:f>
        <x:v>340</x:v>
      </x:c>
      <x:c r="I11" s="20" t="n">
        <x:f>ROUND((TIME(16,0,0)-MOD(C11,1))*1440,0)</x:f>
        <x:v>50</x:v>
      </x:c>
      <x:c r="J11" s="65" t="n">
        <x:v>2</x:v>
      </x:c>
      <x:c r="K11" s="20" t="str">
        <x:f>IF(J11="","no_expiry_context",IF(J11=0,"expiry_day",IF(AND(WEEKDAY(D11,2)=1,J11&gt;=4,J11&lt;=7),"post_expiry_reset",IF(J11&lt;=5,"front_week",IF(J11&lt;=14,"next_cycle","far_cycle")))))</x:f>
        <x:v>front_week</x:v>
      </x:c>
      <x:c r="L11" s="65" t="n">
        <x:v>50</x:v>
      </x:c>
      <x:c r="M11" s="20" t="str">
        <x:f>IF(L11="","clear_window",IF(L11&lt;=0,"event_live_window",IF(L11&lt;=60,"event_imminent_window",IF(L11&lt;=240,"same_session_event_window","clear_window"))))</x:f>
        <x:v>event_imminent_window</x:v>
      </x:c>
      <x:c r="N11" s="65" t="n">
        <x:v>0</x:v>
      </x:c>
      <x:c r="O11" s="64" t="n">
        <x:v>1.16</x:v>
      </x:c>
      <x:c r="P11" s="65" t="n">
        <x:v>62</x:v>
      </x:c>
      <x:c r="Q11" s="65" t="n">
        <x:v>70</x:v>
      </x:c>
      <x:c r="R11" s="65" t="n">
        <x:v>44</x:v>
      </x:c>
      <x:c r="S11" s="65" t="n">
        <x:v>12</x:v>
      </x:c>
      <x:c r="T11" s="65" t="n">
        <x:v>135</x:v>
      </x:c>
      <x:c r="U11" s="65" t="n">
        <x:v>1</x:v>
      </x:c>
      <x:c r="V11" s="65" t="n">
        <x:v>76</x:v>
      </x:c>
      <x:c r="W11" s="65" t="n">
        <x:v>4</x:v>
      </x:c>
      <x:c r="X11" s="20" t="str">
        <x:f>IF(H11&lt;0,"pre_market",IF(I11&lt;0,"after_hours",IF(I11&lt;=Temporal_Step1_Framework!$I$23,"close",IF(I11&lt;=Temporal_Step1_Framework!$I$22,"late_session",IF(H11&lt;30,"open_clock",IF(H11&lt;120,"early_clock",IF(H11&lt;240,"midday_clock","afternoon_clock")))))))</x:f>
        <x:v>late_session</x:v>
      </x:c>
      <x:c r="Y11" s="20" t="n">
        <x:f>IF(AND(H11&gt;=0,H11&lt;=90,O11&gt;=Temporal_Step1_Framework!$I$6),1,0)+IF(AND(H11&gt;=0,H11&lt;=90,P11&gt;=Temporal_Step1_Framework!$I$7),1,0)+IF(AND(H11&gt;=0,H11&lt;=90,ABS(R11)&gt;=Temporal_Step1_Framework!$I$8),1,0)+IF(AND(H11&gt;=0,H11&lt;=90,U11&gt;=2),1,0)</x:f>
        <x:v>0</x:v>
      </x:c>
      <x:c r="Z11" s="20" t="n">
        <x:f>IF(AND(H11&gt;=15,H11&lt;=120,ABS(R11)&lt;=Temporal_Step1_Framework!$I$9),1,0)+IF(AND(H11&gt;=15,H11&lt;=120,P11&lt;=Temporal_Step1_Framework!$I$10),1,0)+IF(AND(H11&gt;=15,H11&lt;=120,O11&gt;=Temporal_Step1_Framework!$I$11,O11&lt;=Temporal_Step1_Framework!$I$12),1,0)+IF(AND(H11&gt;=15,H11&lt;=120,W11&gt;=Temporal_Step1_Framework!$I$13),1,0)</x:f>
        <x:v>0</x:v>
      </x:c>
      <x:c r="AA11" s="20" t="n">
        <x:f>IF(AND(H11&gt;=120,I11&gt;90,P11&lt;=Temporal_Step1_Framework!$I$14),1,0)+IF(AND(H11&gt;=120,I11&gt;90,V11&lt;=Temporal_Step1_Framework!$I$15),1,0)+IF(AND(H11&gt;=120,I11&gt;90,ABS(R11)&lt;=Temporal_Step1_Framework!$I$16),1,0)+IF(AND(H11&gt;=120,I11&gt;90,O11&lt;=Temporal_Step1_Framework!$I$17),1,0)</x:f>
        <x:v>0</x:v>
      </x:c>
      <x:c r="AB11" s="20" t="n">
        <x:f>IF(AND(H11&gt;=45,I11&gt;90,ABS(S11)&gt;=Temporal_Step1_Framework!$I$18),1,0)+IF(AND(H11&gt;=45,I11&gt;90,ABS(R11)&gt;=Temporal_Step1_Framework!$I$19),1,0)+IF(AND(H11&gt;=45,I11&gt;90,O11&gt;=Temporal_Step1_Framework!$I$20),1,0)+IF(AND(H11&gt;=45,I11&gt;90,W11&lt;=Temporal_Step1_Framework!$I$21),1,0)</x:f>
        <x:v>0</x:v>
      </x:c>
      <x:c r="AC11" s="20" t="n">
        <x:f>IF(I11&lt;=Temporal_Step1_Framework!$I$23,2,0)+IF(AND(I11&lt;=Temporal_Step1_Framework!$I$22,I11&gt;Temporal_Step1_Framework!$I$23),1,0)+IF(AND(I11&lt;=Temporal_Step1_Framework!$I$22,O11&gt;=1.10),1,0)+IF(AND(I11&lt;=Temporal_Step1_Framework!$I$22,ABS(S11)&gt;=10),1,0)</x:f>
        <x:v>3</x:v>
      </x:c>
      <x:c r="AD11" s="20" t="str">
        <x:f>IF(H11&lt;0,"pre_market",IF(I11&lt;0,"after_hours",IF(I11&lt;=Temporal_Step1_Framework!$I$23,"dealer_unwind_close",IF(AND(I11&lt;=Temporal_Step1_Framework!$I$22,AC11&gt;=2),"power_hour",IF(Y11&gt;=2,"open_discovery",IF(AA11&gt;=3,"midday_compression",IF(AB11&gt;=3,"trend_persistence",IF(Z11&gt;=3,"early_anchor","unclear_transition"))))))))</x:f>
        <x:v>power_hour</x:v>
      </x:c>
      <x:c r="AE11" s="12" t="inlineStr">
        <x:is>
          <x:t xml:space="preserve">power_hour</x:t>
        </x:is>
      </x:c>
      <x:c r="AF11" s="68" t="str">
        <x:f>IF(AD11=AE11,"PASS","CHECK")</x:f>
        <x:v>PASS</x:v>
      </x:c>
    </x:row>
    <x:row r="12" ht="36" customHeight="1">
      <x:c r="A12" s="20" t="inlineStr">
        <x:is>
          <x:t xml:space="preserve">UC01</x:t>
        </x:is>
      </x:c>
      <x:c r="B12" s="20" t="inlineStr">
        <x:is>
          <x:t xml:space="preserve">Dealer unwind close at 15:47</x:t>
        </x:is>
      </x:c>
      <x:c r="C12" s="66" t="n">
        <x:v>46106.65763888889</x:v>
      </x:c>
      <x:c r="D12" s="67" t="n">
        <x:f>INT(C12)</x:f>
        <x:v>46106</x:v>
      </x:c>
      <x:c r="E12" s="20" t="str">
        <x:f>CHOOSE(WEEKDAY(D12,2),"Mon","Tue","Wed","Thu","Fri","Sat","Sun")</x:f>
        <x:v>Wed</x:v>
      </x:c>
      <x:c r="F12" s="20" t="str">
        <x:f>"W"&amp;INT((DAY(D12)-1)/7)+1</x:f>
        <x:v>W4</x:v>
      </x:c>
      <x:c r="G12" s="20" t="str">
        <x:f>CHOOSE(MONTH(D12),"Jan","Feb","Mar","Apr","May","Jun","Jul","Aug","Sep","Oct","Nov","Dec")</x:f>
        <x:v>Mar</x:v>
      </x:c>
      <x:c r="H12" s="20" t="n">
        <x:f>ROUND((MOD(C12,1)-TIME(9,30,0))*1440,0)</x:f>
        <x:v>377</x:v>
      </x:c>
      <x:c r="I12" s="20" t="n">
        <x:f>ROUND((TIME(16,0,0)-MOD(C12,1))*1440,0)</x:f>
        <x:v>13</x:v>
      </x:c>
      <x:c r="J12" s="65" t="n">
        <x:v>2</x:v>
      </x:c>
      <x:c r="K12" s="20" t="str">
        <x:f>IF(J12="","no_expiry_context",IF(J12=0,"expiry_day",IF(AND(WEEKDAY(D12,2)=1,J12&gt;=4,J12&lt;=7),"post_expiry_reset",IF(J12&lt;=5,"front_week",IF(J12&lt;=14,"next_cycle","far_cycle")))))</x:f>
        <x:v>front_week</x:v>
      </x:c>
      <x:c r="L12" s="65" t="n">
        <x:v>20</x:v>
      </x:c>
      <x:c r="M12" s="20" t="str">
        <x:f>IF(L12="","clear_window",IF(L12&lt;=0,"event_live_window",IF(L12&lt;=60,"event_imminent_window",IF(L12&lt;=240,"same_session_event_window","clear_window"))))</x:f>
        <x:v>event_imminent_window</x:v>
      </x:c>
      <x:c r="N12" s="65" t="n">
        <x:v>0</x:v>
      </x:c>
      <x:c r="O12" s="64" t="n">
        <x:v>1.35</x:v>
      </x:c>
      <x:c r="P12" s="65" t="n">
        <x:v>85</x:v>
      </x:c>
      <x:c r="Q12" s="65" t="n">
        <x:v>92</x:v>
      </x:c>
      <x:c r="R12" s="65" t="n">
        <x:v>62</x:v>
      </x:c>
      <x:c r="S12" s="65" t="n">
        <x:v>16</x:v>
      </x:c>
      <x:c r="T12" s="65" t="n">
        <x:v>150</x:v>
      </x:c>
      <x:c r="U12" s="65" t="n">
        <x:v>2</x:v>
      </x:c>
      <x:c r="V12" s="65" t="n">
        <x:v>95</x:v>
      </x:c>
      <x:c r="W12" s="65" t="n">
        <x:v>2</x:v>
      </x:c>
      <x:c r="X12" s="20" t="str">
        <x:f>IF(H12&lt;0,"pre_market",IF(I12&lt;0,"after_hours",IF(I12&lt;=Temporal_Step1_Framework!$I$23,"close",IF(I12&lt;=Temporal_Step1_Framework!$I$22,"late_session",IF(H12&lt;30,"open_clock",IF(H12&lt;120,"early_clock",IF(H12&lt;240,"midday_clock","afternoon_clock")))))))</x:f>
        <x:v>close</x:v>
      </x:c>
      <x:c r="Y12" s="20" t="n">
        <x:f>IF(AND(H12&gt;=0,H12&lt;=90,O12&gt;=Temporal_Step1_Framework!$I$6),1,0)+IF(AND(H12&gt;=0,H12&lt;=90,P12&gt;=Temporal_Step1_Framework!$I$7),1,0)+IF(AND(H12&gt;=0,H12&lt;=90,ABS(R12)&gt;=Temporal_Step1_Framework!$I$8),1,0)+IF(AND(H12&gt;=0,H12&lt;=90,U12&gt;=2),1,0)</x:f>
        <x:v>0</x:v>
      </x:c>
      <x:c r="Z12" s="20" t="n">
        <x:f>IF(AND(H12&gt;=15,H12&lt;=120,ABS(R12)&lt;=Temporal_Step1_Framework!$I$9),1,0)+IF(AND(H12&gt;=15,H12&lt;=120,P12&lt;=Temporal_Step1_Framework!$I$10),1,0)+IF(AND(H12&gt;=15,H12&lt;=120,O12&gt;=Temporal_Step1_Framework!$I$11,O12&lt;=Temporal_Step1_Framework!$I$12),1,0)+IF(AND(H12&gt;=15,H12&lt;=120,W12&gt;=Temporal_Step1_Framework!$I$13),1,0)</x:f>
        <x:v>0</x:v>
      </x:c>
      <x:c r="AA12" s="20" t="n">
        <x:f>IF(AND(H12&gt;=120,I12&gt;90,P12&lt;=Temporal_Step1_Framework!$I$14),1,0)+IF(AND(H12&gt;=120,I12&gt;90,V12&lt;=Temporal_Step1_Framework!$I$15),1,0)+IF(AND(H12&gt;=120,I12&gt;90,ABS(R12)&lt;=Temporal_Step1_Framework!$I$16),1,0)+IF(AND(H12&gt;=120,I12&gt;90,O12&lt;=Temporal_Step1_Framework!$I$17),1,0)</x:f>
        <x:v>0</x:v>
      </x:c>
      <x:c r="AB12" s="20" t="n">
        <x:f>IF(AND(H12&gt;=45,I12&gt;90,ABS(S12)&gt;=Temporal_Step1_Framework!$I$18),1,0)+IF(AND(H12&gt;=45,I12&gt;90,ABS(R12)&gt;=Temporal_Step1_Framework!$I$19),1,0)+IF(AND(H12&gt;=45,I12&gt;90,O12&gt;=Temporal_Step1_Framework!$I$20),1,0)+IF(AND(H12&gt;=45,I12&gt;90,W12&lt;=Temporal_Step1_Framework!$I$21),1,0)</x:f>
        <x:v>0</x:v>
      </x:c>
      <x:c r="AC12" s="20" t="n">
        <x:f>IF(I12&lt;=Temporal_Step1_Framework!$I$23,2,0)+IF(AND(I12&lt;=Temporal_Step1_Framework!$I$22,I12&gt;Temporal_Step1_Framework!$I$23),1,0)+IF(AND(I12&lt;=Temporal_Step1_Framework!$I$22,O12&gt;=1.10),1,0)+IF(AND(I12&lt;=Temporal_Step1_Framework!$I$22,ABS(S12)&gt;=10),1,0)</x:f>
        <x:v>4</x:v>
      </x:c>
      <x:c r="AD12" s="20" t="str">
        <x:f>IF(H12&lt;0,"pre_market",IF(I12&lt;0,"after_hours",IF(I12&lt;=Temporal_Step1_Framework!$I$23,"dealer_unwind_close",IF(AND(I12&lt;=Temporal_Step1_Framework!$I$22,AC12&gt;=2),"power_hour",IF(Y12&gt;=2,"open_discovery",IF(AA12&gt;=3,"midday_compression",IF(AB12&gt;=3,"trend_persistence",IF(Z12&gt;=3,"early_anchor","unclear_transition"))))))))</x:f>
        <x:v>dealer_unwind_close</x:v>
      </x:c>
      <x:c r="AE12" s="12" t="inlineStr">
        <x:is>
          <x:t xml:space="preserve">dealer_unwind_close</x:t>
        </x:is>
      </x:c>
      <x:c r="AF12" s="68" t="str">
        <x:f>IF(AD12=AE12,"PASS","CHECK")</x:f>
        <x:v>PASS</x:v>
      </x:c>
    </x:row>
    <x:row r="15">
      <x:c r="A15" s="63" t="inlineStr">
        <x:is>
          <x:t xml:space="preserve">Interpretation: the workbook is not declaring these thresholds “true”; it is giving Step 1 its own isolated surface for exploration before any code rewrite.</x:t>
        </x:is>
      </x:c>
    </x:row>
  </x:sheetData>
  <x:mergeCells>
    <x:mergeCell ref="A1:AF1"/>
    <x:mergeCell ref="A4:AF4"/>
    <x:mergeCell ref="A3:AF3"/>
    <x:mergeCell ref="A15:AF15"/>
    <x:mergeCell ref="A2:A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Raw Primitives Catalog</x:t>
        </x:is>
      </x:c>
    </x:row>
    <x:row r="2">
      <x:c r="A2" t="inlineStr">
        <x:is>
          <x:t xml:space="preserve">Direct vendor/feed captures only. No ratios, scores, slopes, or other feature-engineered fields belong on this sheet.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Typical Source Class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Calendar raw</x:t>
        </x:is>
      </x:c>
      <x:c r="B4" s="20" t="inlineStr">
        <x:is>
          <x:t xml:space="preserve">RP01</x:t>
        </x:is>
      </x:c>
      <x:c r="C4" s="21" t="inlineStr">
        <x:is>
          <x:t xml:space="preserve">Snapshot timestamp ET</x:t>
        </x:is>
      </x:c>
      <x:c r="D4" s="21" t="inlineStr">
        <x:is>
          <x:t xml:space="preserve">datetime</x:t>
        </x:is>
      </x:c>
      <x:c r="E4" s="21" t="inlineStr">
        <x:is>
          <x:t xml:space="preserve">Exact observation time for the 30-second loop</x:t>
        </x:is>
      </x:c>
      <x:c r="F4" s="21" t="inlineStr">
        <x:is>
          <x:t xml:space="preserve">market clock / feed timestamp</x:t>
        </x:is>
      </x:c>
      <x:c r="G4" s="21" t="inlineStr">
        <x:is>
          <x:t xml:space="preserve">Required for session/day/week/month/expiry logic without downstream leakage</x:t>
        </x:is>
      </x:c>
      <x:c r="H4" s="21" t="inlineStr">
        <x:is>
          <x:t xml:space="preserve">30-second cadence target during RTH</x:t>
        </x:is>
      </x:c>
    </x:row>
    <x:row r="5">
      <x:c r="A5" s="20" t="inlineStr">
        <x:is>
          <x:t xml:space="preserve">Calendar raw</x:t>
        </x:is>
      </x:c>
      <x:c r="B5" s="20" t="inlineStr">
        <x:is>
          <x:t xml:space="preserve">RP02</x:t>
        </x:is>
      </x:c>
      <x:c r="C5" s="21" t="inlineStr">
        <x:is>
          <x:t xml:space="preserve">Session date ET</x:t>
        </x:is>
      </x:c>
      <x:c r="D5" s="21" t="inlineStr">
        <x:is>
          <x:t xml:space="preserve">date</x:t>
        </x:is>
      </x:c>
      <x:c r="E5" s="21" t="inlineStr">
        <x:is>
          <x:t xml:space="preserve">Trading session anchor date</x:t>
        </x:is>
      </x:c>
      <x:c r="F5" s="21" t="inlineStr">
        <x:is>
          <x:t xml:space="preserve">derived from timestamp only</x:t>
        </x:is>
      </x:c>
      <x:c r="G5" s="21" t="inlineStr">
        <x:is>
          <x:t xml:space="preserve">Replay partition and session grouping</x:t>
        </x:is>
      </x:c>
      <x:c r="H5" s="21" t="inlineStr">
        <x:is>
          <x:t xml:space="preserve">Calendar anchor only</x:t>
        </x:is>
      </x:c>
    </x:row>
    <x:row r="6">
      <x:c r="A6" s="20" t="inlineStr">
        <x:is>
          <x:t xml:space="preserve">Calendar raw</x:t>
        </x:is>
      </x:c>
      <x:c r="B6" s="20" t="inlineStr">
        <x:is>
          <x:t xml:space="preserve">RP03</x:t>
        </x:is>
      </x:c>
      <x:c r="C6" s="21" t="inlineStr">
        <x:is>
          <x:t xml:space="preserve">Weekday</x:t>
        </x:is>
      </x:c>
      <x:c r="D6" s="21" t="inlineStr">
        <x:is>
          <x:t xml:space="preserve">text</x:t>
        </x:is>
      </x:c>
      <x:c r="E6" s="21" t="inlineStr">
        <x:is>
          <x:t xml:space="preserve">Day-of-week context</x:t>
        </x:is>
      </x:c>
      <x:c r="F6" s="21" t="inlineStr">
        <x:is>
          <x:t xml:space="preserve">derived from timestamp only</x:t>
        </x:is>
      </x:c>
      <x:c r="G6" s="21" t="inlineStr">
        <x:is>
          <x:t xml:space="preserve">Needed for Friday / expiry-week logic</x:t>
        </x:is>
      </x:c>
      <x:c r="H6" s="21" t="inlineStr">
        <x:is>
          <x:t xml:space="preserve">Calendar anchor only</x:t>
        </x:is>
      </x:c>
    </x:row>
    <x:row r="7">
      <x:c r="A7" s="20" t="inlineStr">
        <x:is>
          <x:t xml:space="preserve">Calendar raw</x:t>
        </x:is>
      </x:c>
      <x:c r="B7" s="20" t="inlineStr">
        <x:is>
          <x:t xml:space="preserve">RP04</x:t>
        </x:is>
      </x:c>
      <x:c r="C7" s="21" t="inlineStr">
        <x:is>
          <x:t xml:space="preserve">Month</x:t>
        </x:is>
      </x:c>
      <x:c r="D7" s="21" t="inlineStr">
        <x:is>
          <x:t xml:space="preserve">integer</x:t>
        </x:is>
      </x:c>
      <x:c r="E7" s="21" t="inlineStr">
        <x:is>
          <x:t xml:space="preserve">Month context</x:t>
        </x:is>
      </x:c>
      <x:c r="F7" s="21" t="inlineStr">
        <x:is>
          <x:t xml:space="preserve">derived from timestamp only</x:t>
        </x:is>
      </x:c>
      <x:c r="G7" s="21" t="inlineStr">
        <x:is>
          <x:t xml:space="preserve">Supports monthly / quarter-end framing</x:t>
        </x:is>
      </x:c>
      <x:c r="H7" s="21" t="inlineStr">
        <x:is>
          <x:t xml:space="preserve">Calendar anchor only</x:t>
        </x:is>
      </x:c>
    </x:row>
    <x:row r="8">
      <x:c r="A8" s="20" t="inlineStr">
        <x:is>
          <x:t xml:space="preserve">Calendar raw</x:t>
        </x:is>
      </x:c>
      <x:c r="B8" s="20" t="inlineStr">
        <x:is>
          <x:t xml:space="preserve">RP05</x:t>
        </x:is>
      </x:c>
      <x:c r="C8" s="21" t="inlineStr">
        <x:is>
          <x:t xml:space="preserve">Next expiry timestamp</x:t>
        </x:is>
      </x:c>
      <x:c r="D8" s="21" t="inlineStr">
        <x:is>
          <x:t xml:space="preserve">datetime</x:t>
        </x:is>
      </x:c>
      <x:c r="E8" s="21" t="inlineStr">
        <x:is>
          <x:t xml:space="preserve">Nearest listed expiry anchor</x:t>
        </x:is>
      </x:c>
      <x:c r="F8" s="21" t="inlineStr">
        <x:is>
          <x:t xml:space="preserve">calendar / options calendar</x:t>
        </x:is>
      </x:c>
      <x:c r="G8" s="21" t="inlineStr">
        <x:is>
          <x:t xml:space="preserve">Needed for expiry-cycle state</x:t>
        </x:is>
      </x:c>
      <x:c r="H8" s="21" t="inlineStr">
        <x:is>
          <x:t xml:space="preserve">Calendar only; not options verdict</x:t>
        </x:is>
      </x:c>
    </x:row>
    <x:row r="9">
      <x:c r="A9" s="20" t="inlineStr">
        <x:is>
          <x:t xml:space="preserve">Calendar raw</x:t>
        </x:is>
      </x:c>
      <x:c r="B9" s="20" t="inlineStr">
        <x:is>
          <x:t xml:space="preserve">RP06</x:t>
        </x:is>
      </x:c>
      <x:c r="C9" s="21" t="inlineStr">
        <x:is>
          <x:t xml:space="preserve">Next event timestamp</x:t>
        </x:is>
      </x:c>
      <x:c r="D9" s="21" t="inlineStr">
        <x:is>
          <x:t xml:space="preserve">datetime</x:t>
        </x:is>
      </x:c>
      <x:c r="E9" s="21" t="inlineStr">
        <x:is>
          <x:t xml:space="preserve">Nearest catalyst anchor</x:t>
        </x:is>
      </x:c>
      <x:c r="F9" s="21" t="inlineStr">
        <x:is>
          <x:t xml:space="preserve">calendar / event schedule</x:t>
        </x:is>
      </x:c>
      <x:c r="G9" s="21" t="inlineStr">
        <x:is>
          <x:t xml:space="preserve">Needed for event-window state</x:t>
        </x:is>
      </x:c>
      <x:c r="H9" s="21" t="inlineStr">
        <x:is>
          <x:t xml:space="preserve">Calendar only</x:t>
        </x:is>
      </x:c>
    </x:row>
    <x:row r="10">
      <x:c r="A10" s="20" t="inlineStr">
        <x:is>
          <x:t xml:space="preserve">Underlying bars raw</x:t>
        </x:is>
      </x:c>
      <x:c r="B10" s="20" t="inlineStr">
        <x:is>
          <x:t xml:space="preserve">RP07</x:t>
        </x:is>
      </x:c>
      <x:c r="C10" s="21" t="inlineStr">
        <x:is>
          <x:t xml:space="preserve">NVDA open</x:t>
        </x:is>
      </x:c>
      <x:c r="D10" s="21" t="inlineStr">
        <x:is>
          <x:t xml:space="preserve">price</x:t>
        </x:is>
      </x:c>
      <x:c r="E10" s="21" t="inlineStr">
        <x:is>
          <x:t xml:space="preserve">Official bar open</x:t>
        </x:is>
      </x:c>
      <x:c r="F10" s="21" t="inlineStr">
        <x:is>
          <x:t xml:space="preserve">single-name market data</x:t>
        </x:is>
      </x:c>
      <x:c r="G10" s="21" t="inlineStr">
        <x:is>
          <x:t xml:space="preserve">Primitive price path state</x:t>
        </x:is>
      </x:c>
      <x:c r="H10" s="21" t="inlineStr">
        <x:is>
          <x:t xml:space="preserve">RTH bars preferred</x:t>
        </x:is>
      </x:c>
    </x:row>
    <x:row r="11">
      <x:c r="A11" s="20" t="inlineStr">
        <x:is>
          <x:t xml:space="preserve">Underlying bars raw</x:t>
        </x:is>
      </x:c>
      <x:c r="B11" s="20" t="inlineStr">
        <x:is>
          <x:t xml:space="preserve">RP08</x:t>
        </x:is>
      </x:c>
      <x:c r="C11" s="21" t="inlineStr">
        <x:is>
          <x:t xml:space="preserve">NVDA high</x:t>
        </x:is>
      </x:c>
      <x:c r="D11" s="21" t="inlineStr">
        <x:is>
          <x:t xml:space="preserve">price</x:t>
        </x:is>
      </x:c>
      <x:c r="E11" s="21" t="inlineStr">
        <x:is>
          <x:t xml:space="preserve">Official bar high</x:t>
        </x:is>
      </x:c>
      <x:c r="F11" s="21" t="inlineStr">
        <x:is>
          <x:t xml:space="preserve">single-name market data</x:t>
        </x:is>
      </x:c>
      <x:c r="G11" s="21" t="inlineStr">
        <x:is>
          <x:t xml:space="preserve">Primitive realised excursion</x:t>
        </x:is>
      </x:c>
      <x:c r="H11" s="21" t="inlineStr">
        <x:is>
          <x:t xml:space="preserve">RTH bars preferred</x:t>
        </x:is>
      </x:c>
    </x:row>
    <x:row r="12">
      <x:c r="A12" s="20" t="inlineStr">
        <x:is>
          <x:t xml:space="preserve">Underlying bars raw</x:t>
        </x:is>
      </x:c>
      <x:c r="B12" s="20" t="inlineStr">
        <x:is>
          <x:t xml:space="preserve">RP09</x:t>
        </x:is>
      </x:c>
      <x:c r="C12" s="21" t="inlineStr">
        <x:is>
          <x:t xml:space="preserve">NVDA low</x:t>
        </x:is>
      </x:c>
      <x:c r="D12" s="21" t="inlineStr">
        <x:is>
          <x:t xml:space="preserve">price</x:t>
        </x:is>
      </x:c>
      <x:c r="E12" s="21" t="inlineStr">
        <x:is>
          <x:t xml:space="preserve">Official bar low</x:t>
        </x:is>
      </x:c>
      <x:c r="F12" s="21" t="inlineStr">
        <x:is>
          <x:t xml:space="preserve">single-name market data</x:t>
        </x:is>
      </x:c>
      <x:c r="G12" s="21" t="inlineStr">
        <x:is>
          <x:t xml:space="preserve">Primitive realised excursion</x:t>
        </x:is>
      </x:c>
      <x:c r="H12" s="21" t="inlineStr">
        <x:is>
          <x:t xml:space="preserve">RTH bars preferred</x:t>
        </x:is>
      </x:c>
    </x:row>
    <x:row r="13">
      <x:c r="A13" s="20" t="inlineStr">
        <x:is>
          <x:t xml:space="preserve">Underlying bars raw</x:t>
        </x:is>
      </x:c>
      <x:c r="B13" s="20" t="inlineStr">
        <x:is>
          <x:t xml:space="preserve">RP10</x:t>
        </x:is>
      </x:c>
      <x:c r="C13" s="21" t="inlineStr">
        <x:is>
          <x:t xml:space="preserve">NVDA last / close</x:t>
        </x:is>
      </x:c>
      <x:c r="D13" s="21" t="inlineStr">
        <x:is>
          <x:t xml:space="preserve">price</x:t>
        </x:is>
      </x:c>
      <x:c r="E13" s="21" t="inlineStr">
        <x:is>
          <x:t xml:space="preserve">Official bar close or last mark</x:t>
        </x:is>
      </x:c>
      <x:c r="F13" s="21" t="inlineStr">
        <x:is>
          <x:t xml:space="preserve">single-name market data</x:t>
        </x:is>
      </x:c>
      <x:c r="G13" s="21" t="inlineStr">
        <x:is>
          <x:t xml:space="preserve">Primitive spot anchor</x:t>
        </x:is>
      </x:c>
      <x:c r="H13" s="21" t="inlineStr">
        <x:is>
          <x:t xml:space="preserve">Use latest close for the loop</x:t>
        </x:is>
      </x:c>
    </x:row>
    <x:row r="14">
      <x:c r="A14" s="20" t="inlineStr">
        <x:is>
          <x:t xml:space="preserve">Underlying bars raw</x:t>
        </x:is>
      </x:c>
      <x:c r="B14" s="20" t="inlineStr">
        <x:is>
          <x:t xml:space="preserve">RP11</x:t>
        </x:is>
      </x:c>
      <x:c r="C14" s="21" t="inlineStr">
        <x:is>
          <x:t xml:space="preserve">Interval volume shares</x:t>
        </x:is>
      </x:c>
      <x:c r="D14" s="21" t="inlineStr">
        <x:is>
          <x:t xml:space="preserve">shares / 30s</x:t>
        </x:is>
      </x:c>
      <x:c r="E14" s="21" t="inlineStr">
        <x:is>
          <x:t xml:space="preserve">Executed volume in current bucket</x:t>
        </x:is>
      </x:c>
      <x:c r="F14" s="21" t="inlineStr">
        <x:is>
          <x:t xml:space="preserve">single-name market data</x:t>
        </x:is>
      </x:c>
      <x:c r="G14" s="21" t="inlineStr">
        <x:is>
          <x:t xml:space="preserve">Participation input</x:t>
        </x:is>
      </x:c>
      <x:c r="H14" s="21" t="inlineStr">
        <x:is>
          <x:t xml:space="preserve">Do not pre-normalise</x:t>
        </x:is>
      </x:c>
    </x:row>
    <x:row r="15">
      <x:c r="A15" s="20" t="inlineStr">
        <x:is>
          <x:t xml:space="preserve">Underlying bars raw</x:t>
        </x:is>
      </x:c>
      <x:c r="B15" s="20" t="inlineStr">
        <x:is>
          <x:t xml:space="preserve">RP12</x:t>
        </x:is>
      </x:c>
      <x:c r="C15" s="21" t="inlineStr">
        <x:is>
          <x:t xml:space="preserve">Cumulative session volume</x:t>
        </x:is>
      </x:c>
      <x:c r="D15" s="21" t="inlineStr">
        <x:is>
          <x:t xml:space="preserve">shares</x:t>
        </x:is>
      </x:c>
      <x:c r="E15" s="21" t="inlineStr">
        <x:is>
          <x:t xml:space="preserve">Session-to-date executed volume</x:t>
        </x:is>
      </x:c>
      <x:c r="F15" s="21" t="inlineStr">
        <x:is>
          <x:t xml:space="preserve">single-name market data</x:t>
        </x:is>
      </x:c>
      <x:c r="G15" s="21" t="inlineStr">
        <x:is>
          <x:t xml:space="preserve">Supports accumulators and baselines</x:t>
        </x:is>
      </x:c>
      <x:c r="H15" s="21" t="inlineStr">
        <x:is>
          <x:t xml:space="preserve">Raw cumulative form allowed</x:t>
        </x:is>
      </x:c>
    </x:row>
    <x:row r="16">
      <x:c r="A16" s="20" t="inlineStr">
        <x:is>
          <x:t xml:space="preserve">Underlying bars raw</x:t>
        </x:is>
      </x:c>
      <x:c r="B16" s="20" t="inlineStr">
        <x:is>
          <x:t xml:space="preserve">RP13</x:t>
        </x:is>
      </x:c>
      <x:c r="C16" s="21" t="inlineStr">
        <x:is>
          <x:t xml:space="preserve">Trade count</x:t>
        </x:is>
      </x:c>
      <x:c r="D16" s="21" t="inlineStr">
        <x:is>
          <x:t xml:space="preserve">count / 30s</x:t>
        </x:is>
      </x:c>
      <x:c r="E16" s="21" t="inlineStr">
        <x:is>
          <x:t xml:space="preserve">Number of prints in the current bucket</x:t>
        </x:is>
      </x:c>
      <x:c r="F16" s="21" t="inlineStr">
        <x:is>
          <x:t xml:space="preserve">trade tape</x:t>
        </x:is>
      </x:c>
      <x:c r="G16" s="21" t="inlineStr">
        <x:is>
          <x:t xml:space="preserve">Participation-quality input</x:t>
        </x:is>
      </x:c>
      <x:c r="H16" s="21" t="inlineStr">
        <x:is>
          <x:t xml:space="preserve">Raw if vendor supplies it</x:t>
        </x:is>
      </x:c>
    </x:row>
    <x:row r="17">
      <x:c r="A17" s="20" t="inlineStr">
        <x:is>
          <x:t xml:space="preserve">Underlying quote raw</x:t>
        </x:is>
      </x:c>
      <x:c r="B17" s="20" t="inlineStr">
        <x:is>
          <x:t xml:space="preserve">RP14</x:t>
        </x:is>
      </x:c>
      <x:c r="C17" s="21" t="inlineStr">
        <x:is>
          <x:t xml:space="preserve">Best bid</x:t>
        </x:is>
      </x:c>
      <x:c r="D17" s="21" t="inlineStr">
        <x:is>
          <x:t xml:space="preserve">price</x:t>
        </x:is>
      </x:c>
      <x:c r="E17" s="21" t="inlineStr">
        <x:is>
          <x:t xml:space="preserve">Underlying bid</x:t>
        </x:is>
      </x:c>
      <x:c r="F17" s="21" t="inlineStr">
        <x:is>
          <x:t xml:space="preserve">quote feed</x:t>
        </x:is>
      </x:c>
      <x:c r="G17" s="21" t="inlineStr">
        <x:is>
          <x:t xml:space="preserve">Execution/liquidity primitive</x:t>
        </x:is>
      </x:c>
      <x:c r="H17" s="21" t="inlineStr">
        <x:is>
          <x:t xml:space="preserve">Use NBBO or broker best bid</x:t>
        </x:is>
      </x:c>
    </x:row>
    <x:row r="18">
      <x:c r="A18" s="20" t="inlineStr">
        <x:is>
          <x:t xml:space="preserve">Underlying quote raw</x:t>
        </x:is>
      </x:c>
      <x:c r="B18" s="20" t="inlineStr">
        <x:is>
          <x:t xml:space="preserve">RP15</x:t>
        </x:is>
      </x:c>
      <x:c r="C18" s="21" t="inlineStr">
        <x:is>
          <x:t xml:space="preserve">Best ask</x:t>
        </x:is>
      </x:c>
      <x:c r="D18" s="21" t="inlineStr">
        <x:is>
          <x:t xml:space="preserve">price</x:t>
        </x:is>
      </x:c>
      <x:c r="E18" s="21" t="inlineStr">
        <x:is>
          <x:t xml:space="preserve">Underlying ask</x:t>
        </x:is>
      </x:c>
      <x:c r="F18" s="21" t="inlineStr">
        <x:is>
          <x:t xml:space="preserve">quote feed</x:t>
        </x:is>
      </x:c>
      <x:c r="G18" s="21" t="inlineStr">
        <x:is>
          <x:t xml:space="preserve">Execution/liquidity primitive</x:t>
        </x:is>
      </x:c>
      <x:c r="H18" s="21" t="inlineStr">
        <x:is>
          <x:t xml:space="preserve">Use NBBO or broker best ask</x:t>
        </x:is>
      </x:c>
    </x:row>
    <x:row r="19">
      <x:c r="A19" s="20" t="inlineStr">
        <x:is>
          <x:t xml:space="preserve">Underlying quote raw</x:t>
        </x:is>
      </x:c>
      <x:c r="B19" s="20" t="inlineStr">
        <x:is>
          <x:t xml:space="preserve">RP16</x:t>
        </x:is>
      </x:c>
      <x:c r="C19" s="21" t="inlineStr">
        <x:is>
          <x:t xml:space="preserve">Bid size</x:t>
        </x:is>
      </x:c>
      <x:c r="D19" s="21" t="inlineStr">
        <x:is>
          <x:t xml:space="preserve">shares</x:t>
        </x:is>
      </x:c>
      <x:c r="E19" s="21" t="inlineStr">
        <x:is>
          <x:t xml:space="preserve">Displayed bid size</x:t>
        </x:is>
      </x:c>
      <x:c r="F19" s="21" t="inlineStr">
        <x:is>
          <x:t xml:space="preserve">quote feed</x:t>
        </x:is>
      </x:c>
      <x:c r="G19" s="21" t="inlineStr">
        <x:is>
          <x:t xml:space="preserve">Microstructure/liquidity depth proxy</x:t>
        </x:is>
      </x:c>
      <x:c r="H19" s="21" t="inlineStr">
        <x:is>
          <x:t xml:space="preserve">Optional when available</x:t>
        </x:is>
      </x:c>
    </x:row>
    <x:row r="20">
      <x:c r="A20" s="20" t="inlineStr">
        <x:is>
          <x:t xml:space="preserve">Underlying quote raw</x:t>
        </x:is>
      </x:c>
      <x:c r="B20" s="20" t="inlineStr">
        <x:is>
          <x:t xml:space="preserve">RP17</x:t>
        </x:is>
      </x:c>
      <x:c r="C20" s="21" t="inlineStr">
        <x:is>
          <x:t xml:space="preserve">Ask size</x:t>
        </x:is>
      </x:c>
      <x:c r="D20" s="21" t="inlineStr">
        <x:is>
          <x:t xml:space="preserve">shares</x:t>
        </x:is>
      </x:c>
      <x:c r="E20" s="21" t="inlineStr">
        <x:is>
          <x:t xml:space="preserve">Displayed ask size</x:t>
        </x:is>
      </x:c>
      <x:c r="F20" s="21" t="inlineStr">
        <x:is>
          <x:t xml:space="preserve">quote feed</x:t>
        </x:is>
      </x:c>
      <x:c r="G20" s="21" t="inlineStr">
        <x:is>
          <x:t xml:space="preserve">Microstructure/liquidity depth proxy</x:t>
        </x:is>
      </x:c>
      <x:c r="H20" s="21" t="inlineStr">
        <x:is>
          <x:t xml:space="preserve">Optional when available</x:t>
        </x:is>
      </x:c>
    </x:row>
    <x:row r="21">
      <x:c r="A21" s="20" t="inlineStr">
        <x:is>
          <x:t xml:space="preserve">Cross-asset raw</x:t>
        </x:is>
      </x:c>
      <x:c r="B21" s="20" t="inlineStr">
        <x:is>
          <x:t xml:space="preserve">RP18</x:t>
        </x:is>
      </x:c>
      <x:c r="C21" s="21" t="inlineStr">
        <x:is>
          <x:t xml:space="preserve">ES futures</x:t>
        </x:is>
      </x:c>
      <x:c r="D21" s="21" t="inlineStr">
        <x:is>
          <x:t xml:space="preserve">index level</x:t>
        </x:is>
      </x:c>
      <x:c r="E21" s="21" t="inlineStr">
        <x:is>
          <x:t xml:space="preserve">Broad US beta tape</x:t>
        </x:is>
      </x:c>
      <x:c r="F21" s="21" t="inlineStr">
        <x:is>
          <x:t xml:space="preserve">futures / vendor feed</x:t>
        </x:is>
      </x:c>
      <x:c r="G21" s="21" t="inlineStr">
        <x:is>
          <x:t xml:space="preserve">Broad beta state</x:t>
        </x:is>
      </x:c>
      <x:c r="H21" s="21" t="inlineStr">
        <x:is>
          <x:t xml:space="preserve">Overnight and RTH</x:t>
        </x:is>
      </x:c>
    </x:row>
    <x:row r="22">
      <x:c r="A22" s="20" t="inlineStr">
        <x:is>
          <x:t xml:space="preserve">Cross-asset raw</x:t>
        </x:is>
      </x:c>
      <x:c r="B22" s="20" t="inlineStr">
        <x:is>
          <x:t xml:space="preserve">RP19</x:t>
        </x:is>
      </x:c>
      <x:c r="C22" s="21" t="inlineStr">
        <x:is>
          <x:t xml:space="preserve">NQ futures</x:t>
        </x:is>
      </x:c>
      <x:c r="D22" s="21" t="inlineStr">
        <x:is>
          <x:t xml:space="preserve">index level</x:t>
        </x:is>
      </x:c>
      <x:c r="E22" s="21" t="inlineStr">
        <x:is>
          <x:t xml:space="preserve">US tech beta tape</x:t>
        </x:is>
      </x:c>
      <x:c r="F22" s="21" t="inlineStr">
        <x:is>
          <x:t xml:space="preserve">futures / vendor feed</x:t>
        </x:is>
      </x:c>
      <x:c r="G22" s="21" t="inlineStr">
        <x:is>
          <x:t xml:space="preserve">Tech beta state</x:t>
        </x:is>
      </x:c>
      <x:c r="H22" s="21" t="inlineStr">
        <x:is>
          <x:t xml:space="preserve">Critical for NVDA residuals</x:t>
        </x:is>
      </x:c>
    </x:row>
    <x:row r="23">
      <x:c r="A23" s="20" t="inlineStr">
        <x:is>
          <x:t xml:space="preserve">Cross-asset raw</x:t>
        </x:is>
      </x:c>
      <x:c r="B23" s="20" t="inlineStr">
        <x:is>
          <x:t xml:space="preserve">RP20</x:t>
        </x:is>
      </x:c>
      <x:c r="C23" s="21" t="inlineStr">
        <x:is>
          <x:t xml:space="preserve">SOX index</x:t>
        </x:is>
      </x:c>
      <x:c r="D23" s="21" t="inlineStr">
        <x:is>
          <x:t xml:space="preserve">index level</x:t>
        </x:is>
      </x:c>
      <x:c r="E23" s="21" t="inlineStr">
        <x:is>
          <x:t xml:space="preserve">Semiconductor leadership tape</x:t>
        </x:is>
      </x:c>
      <x:c r="F23" s="21" t="inlineStr">
        <x:is>
          <x:t xml:space="preserve">sector market data</x:t>
        </x:is>
      </x:c>
      <x:c r="G23" s="21" t="inlineStr">
        <x:is>
          <x:t xml:space="preserve">Confirms semis leadership or failure</x:t>
        </x:is>
      </x:c>
      <x:c r="H23" s="21" t="inlineStr">
        <x:is>
          <x:t xml:space="preserve">Prefer SOX over ETF proxy</x:t>
        </x:is>
      </x:c>
    </x:row>
    <x:row r="24">
      <x:c r="A24" s="20" t="inlineStr">
        <x:is>
          <x:t xml:space="preserve">Cross-asset raw</x:t>
        </x:is>
      </x:c>
      <x:c r="B24" s="20" t="inlineStr">
        <x:is>
          <x:t xml:space="preserve">RP21</x:t>
        </x:is>
      </x:c>
      <x:c r="C24" s="21" t="inlineStr">
        <x:is>
          <x:t xml:space="preserve">VIX</x:t>
        </x:is>
      </x:c>
      <x:c r="D24" s="21" t="inlineStr">
        <x:is>
          <x:t xml:space="preserve">index points</x:t>
        </x:is>
      </x:c>
      <x:c r="E24" s="21" t="inlineStr">
        <x:is>
          <x:t xml:space="preserve">Headline implied-vol state</x:t>
        </x:is>
      </x:c>
      <x:c r="F24" s="21" t="inlineStr">
        <x:is>
          <x:t xml:space="preserve">volatility index data</x:t>
        </x:is>
      </x:c>
      <x:c r="G24" s="21" t="inlineStr">
        <x:is>
          <x:t xml:space="preserve">Broad stress gauge</x:t>
        </x:is>
      </x:c>
      <x:c r="H24" s="21" t="inlineStr">
        <x:is>
          <x:t xml:space="preserve">Raw index print</x:t>
        </x:is>
      </x:c>
    </x:row>
    <x:row r="25">
      <x:c r="A25" s="20" t="inlineStr">
        <x:is>
          <x:t xml:space="preserve">Cross-asset raw</x:t>
        </x:is>
      </x:c>
      <x:c r="B25" s="20" t="inlineStr">
        <x:is>
          <x:t xml:space="preserve">RP22</x:t>
        </x:is>
      </x:c>
      <x:c r="C25" s="21" t="inlineStr">
        <x:is>
          <x:t xml:space="preserve">VVIX</x:t>
        </x:is>
      </x:c>
      <x:c r="D25" s="21" t="inlineStr">
        <x:is>
          <x:t xml:space="preserve">index points</x:t>
        </x:is>
      </x:c>
      <x:c r="E25" s="21" t="inlineStr">
        <x:is>
          <x:t xml:space="preserve">Vol-of-vol state</x:t>
        </x:is>
      </x:c>
      <x:c r="F25" s="21" t="inlineStr">
        <x:is>
          <x:t xml:space="preserve">volatility index data</x:t>
        </x:is>
      </x:c>
      <x:c r="G25" s="21" t="inlineStr">
        <x:is>
          <x:t xml:space="preserve">Second-order stress gauge</x:t>
        </x:is>
      </x:c>
      <x:c r="H25" s="21" t="inlineStr">
        <x:is>
          <x:t xml:space="preserve">Raw index print</x:t>
        </x:is>
      </x:c>
    </x:row>
    <x:row r="26">
      <x:c r="A26" s="20" t="inlineStr">
        <x:is>
          <x:t xml:space="preserve">Cross-asset raw</x:t>
        </x:is>
      </x:c>
      <x:c r="B26" s="20" t="inlineStr">
        <x:is>
          <x:t xml:space="preserve">RP23</x:t>
        </x:is>
      </x:c>
      <x:c r="C26" s="21" t="inlineStr">
        <x:is>
          <x:t xml:space="preserve">US 10Y yield</x:t>
        </x:is>
      </x:c>
      <x:c r="D26" s="21" t="inlineStr">
        <x:is>
          <x:t xml:space="preserve">bp</x:t>
        </x:is>
      </x:c>
      <x:c r="E26" s="21" t="inlineStr">
        <x:is>
          <x:t xml:space="preserve">Rates state</x:t>
        </x:is>
      </x:c>
      <x:c r="F26" s="21" t="inlineStr">
        <x:is>
          <x:t xml:space="preserve">rates data</x:t>
        </x:is>
      </x:c>
      <x:c r="G26" s="21" t="inlineStr">
        <x:is>
          <x:t xml:space="preserve">Growth-beta sensitivity</x:t>
        </x:is>
      </x:c>
      <x:c r="H26" s="21" t="inlineStr">
        <x:is>
          <x:t xml:space="preserve">Raw yield print</x:t>
        </x:is>
      </x:c>
    </x:row>
    <x:row r="27">
      <x:c r="A27" s="20" t="inlineStr">
        <x:is>
          <x:t xml:space="preserve">Cross-asset raw</x:t>
        </x:is>
      </x:c>
      <x:c r="B27" s="20" t="inlineStr">
        <x:is>
          <x:t xml:space="preserve">RP24</x:t>
        </x:is>
      </x:c>
      <x:c r="C27" s="21" t="inlineStr">
        <x:is>
          <x:t xml:space="preserve">US 2Y yield</x:t>
        </x:is>
      </x:c>
      <x:c r="D27" s="21" t="inlineStr">
        <x:is>
          <x:t xml:space="preserve">bp</x:t>
        </x:is>
      </x:c>
      <x:c r="E27" s="21" t="inlineStr">
        <x:is>
          <x:t xml:space="preserve">Front-end policy state</x:t>
        </x:is>
      </x:c>
      <x:c r="F27" s="21" t="inlineStr">
        <x:is>
          <x:t xml:space="preserve">rates data</x:t>
        </x:is>
      </x:c>
      <x:c r="G27" s="21" t="inlineStr">
        <x:is>
          <x:t xml:space="preserve">Rates sensitivity</x:t>
        </x:is>
      </x:c>
      <x:c r="H27" s="21" t="inlineStr">
        <x:is>
          <x:t xml:space="preserve">Raw yield print</x:t>
        </x:is>
      </x:c>
    </x:row>
    <x:row r="28">
      <x:c r="A28" s="20" t="inlineStr">
        <x:is>
          <x:t xml:space="preserve">Cross-asset raw</x:t>
        </x:is>
      </x:c>
      <x:c r="B28" s="20" t="inlineStr">
        <x:is>
          <x:t xml:space="preserve">RP25</x:t>
        </x:is>
      </x:c>
      <x:c r="C28" s="21" t="inlineStr">
        <x:is>
          <x:t xml:space="preserve">USDJPY</x:t>
        </x:is>
      </x:c>
      <x:c r="D28" s="21" t="inlineStr">
        <x:is>
          <x:t xml:space="preserve">FX rate</x:t>
        </x:is>
      </x:c>
      <x:c r="E28" s="21" t="inlineStr">
        <x:is>
          <x:t xml:space="preserve">Carry/risk sentiment proxy</x:t>
        </x:is>
      </x:c>
      <x:c r="F28" s="21" t="inlineStr">
        <x:is>
          <x:t xml:space="preserve">FX market data</x:t>
        </x:is>
      </x:c>
      <x:c r="G28" s="21" t="inlineStr">
        <x:is>
          <x:t xml:space="preserve">Cross-asset confirmation</x:t>
        </x:is>
      </x:c>
      <x:c r="H28" s="21" t="inlineStr">
        <x:is>
          <x:t xml:space="preserve">Raw FX print</x:t>
        </x:is>
      </x:c>
    </x:row>
    <x:row r="29">
      <x:c r="A29" s="20" t="inlineStr">
        <x:is>
          <x:t xml:space="preserve">Events raw</x:t>
        </x:is>
      </x:c>
      <x:c r="B29" s="20" t="inlineStr">
        <x:is>
          <x:t xml:space="preserve">RP26</x:t>
        </x:is>
      </x:c>
      <x:c r="C29" s="21" t="inlineStr">
        <x:is>
          <x:t xml:space="preserve">Event flag</x:t>
        </x:is>
      </x:c>
      <x:c r="D29" s="21" t="inlineStr">
        <x:is>
          <x:t xml:space="preserve">0/1</x:t>
        </x:is>
      </x:c>
      <x:c r="E29" s="21" t="inlineStr">
        <x:is>
          <x:t xml:space="preserve">Presence of an active catalyst window</x:t>
        </x:is>
      </x:c>
      <x:c r="F29" s="21" t="inlineStr">
        <x:is>
          <x:t xml:space="preserve">calendar / manual flag</x:t>
        </x:is>
      </x:c>
      <x:c r="G29" s="21" t="inlineStr">
        <x:is>
          <x:t xml:space="preserve">Prevents blind extrapolation</x:t>
        </x:is>
      </x:c>
      <x:c r="H29" s="21" t="inlineStr">
        <x:is>
          <x:t xml:space="preserve">Can be derived from event timestamps</x:t>
        </x:is>
      </x:c>
    </x:row>
    <x:row r="30">
      <x:c r="A30" s="20" t="inlineStr">
        <x:is>
          <x:t xml:space="preserve">Options chain raw</x:t>
        </x:is>
      </x:c>
      <x:c r="B30" s="20" t="inlineStr">
        <x:is>
          <x:t xml:space="preserve">RP27</x:t>
        </x:is>
      </x:c>
      <x:c r="C30" s="21" t="inlineStr">
        <x:is>
          <x:t xml:space="preserve">Underlying last at chain snapshot</x:t>
        </x:is>
      </x:c>
      <x:c r="D30" s="21" t="inlineStr">
        <x:is>
          <x:t xml:space="preserve">price</x:t>
        </x:is>
      </x:c>
      <x:c r="E30" s="21" t="inlineStr">
        <x:is>
          <x:t xml:space="preserve">Underlying reference for the chain row</x:t>
        </x:is>
      </x:c>
      <x:c r="F30" s="21" t="inlineStr">
        <x:is>
          <x:t xml:space="preserve">options vendor / broker app</x:t>
        </x:is>
      </x:c>
      <x:c r="G30" s="21" t="inlineStr">
        <x:is>
          <x:t xml:space="preserve">Anchors moneyness and spot-relative measures</x:t>
        </x:is>
      </x:c>
      <x:c r="H30" s="21" t="inlineStr">
        <x:is>
          <x:t xml:space="preserve">Store once per snapshot or denormalise per row</x:t>
        </x:is>
      </x:c>
    </x:row>
    <x:row r="31">
      <x:c r="A31" s="20" t="inlineStr">
        <x:is>
          <x:t xml:space="preserve">Options chain raw</x:t>
        </x:is>
      </x:c>
      <x:c r="B31" s="20" t="inlineStr">
        <x:is>
          <x:t xml:space="preserve">RP28</x:t>
        </x:is>
      </x:c>
      <x:c r="C31" s="21" t="inlineStr">
        <x:is>
          <x:t xml:space="preserve">Expiry</x:t>
        </x:is>
      </x:c>
      <x:c r="D31" s="21" t="inlineStr">
        <x:is>
          <x:t xml:space="preserve">date</x:t>
        </x:is>
      </x:c>
      <x:c r="E31" s="21" t="inlineStr">
        <x:is>
          <x:t xml:space="preserve">Option expiry</x:t>
        </x:is>
      </x:c>
      <x:c r="F31" s="21" t="inlineStr">
        <x:is>
          <x:t xml:space="preserve">options vendor / broker app</x:t>
        </x:is>
      </x:c>
      <x:c r="G31" s="21" t="inlineStr">
        <x:is>
          <x:t xml:space="preserve">First-class raw chain key</x:t>
        </x:is>
      </x:c>
      <x:c r="H31" s="21" t="inlineStr">
        <x:is>
          <x:t xml:space="preserve">Every row</x:t>
        </x:is>
      </x:c>
    </x:row>
    <x:row r="32">
      <x:c r="A32" s="20" t="inlineStr">
        <x:is>
          <x:t xml:space="preserve">Options chain raw</x:t>
        </x:is>
      </x:c>
      <x:c r="B32" s="20" t="inlineStr">
        <x:is>
          <x:t xml:space="preserve">RP29</x:t>
        </x:is>
      </x:c>
      <x:c r="C32" s="21" t="inlineStr">
        <x:is>
          <x:t xml:space="preserve">Days to expiry</x:t>
        </x:is>
      </x:c>
      <x:c r="D32" s="21" t="inlineStr">
        <x:is>
          <x:t xml:space="preserve">integer</x:t>
        </x:is>
      </x:c>
      <x:c r="E32" s="21" t="inlineStr">
        <x:is>
          <x:t xml:space="preserve">Option tenor</x:t>
        </x:is>
      </x:c>
      <x:c r="F32" s="21" t="inlineStr">
        <x:is>
          <x:t xml:space="preserve">options vendor / broker app</x:t>
        </x:is>
      </x:c>
      <x:c r="G32" s="21" t="inlineStr">
        <x:is>
          <x:t xml:space="preserve">First-class raw chain key</x:t>
        </x:is>
      </x:c>
      <x:c r="H32" s="21" t="inlineStr">
        <x:is>
          <x:t xml:space="preserve">Every row</x:t>
        </x:is>
      </x:c>
    </x:row>
    <x:row r="33">
      <x:c r="A33" s="20" t="inlineStr">
        <x:is>
          <x:t xml:space="preserve">Options chain raw</x:t>
        </x:is>
      </x:c>
      <x:c r="B33" s="20" t="inlineStr">
        <x:is>
          <x:t xml:space="preserve">RP30</x:t>
        </x:is>
      </x:c>
      <x:c r="C33" s="21" t="inlineStr">
        <x:is>
          <x:t xml:space="preserve">Strike</x:t>
        </x:is>
      </x:c>
      <x:c r="D33" s="21" t="inlineStr">
        <x:is>
          <x:t xml:space="preserve">price</x:t>
        </x:is>
      </x:c>
      <x:c r="E33" s="21" t="inlineStr">
        <x:is>
          <x:t xml:space="preserve">Option strike</x:t>
        </x:is>
      </x:c>
      <x:c r="F33" s="21" t="inlineStr">
        <x:is>
          <x:t xml:space="preserve">options vendor / broker app</x:t>
        </x:is>
      </x:c>
      <x:c r="G33" s="21" t="inlineStr">
        <x:is>
          <x:t xml:space="preserve">First-class raw chain key</x:t>
        </x:is>
      </x:c>
      <x:c r="H33" s="21" t="inlineStr">
        <x:is>
          <x:t xml:space="preserve">Every row</x:t>
        </x:is>
      </x:c>
    </x:row>
    <x:row r="34">
      <x:c r="A34" s="20" t="inlineStr">
        <x:is>
          <x:t xml:space="preserve">Options chain raw</x:t>
        </x:is>
      </x:c>
      <x:c r="B34" s="20" t="inlineStr">
        <x:is>
          <x:t xml:space="preserve">RP31</x:t>
        </x:is>
      </x:c>
      <x:c r="C34" s="21" t="inlineStr">
        <x:is>
          <x:t xml:space="preserve">Side</x:t>
        </x:is>
      </x:c>
      <x:c r="D34" s="21" t="inlineStr">
        <x:is>
          <x:t xml:space="preserve">call/put</x:t>
        </x:is>
      </x:c>
      <x:c r="E34" s="21" t="inlineStr">
        <x:is>
          <x:t xml:space="preserve">Option side</x:t>
        </x:is>
      </x:c>
      <x:c r="F34" s="21" t="inlineStr">
        <x:is>
          <x:t xml:space="preserve">options vendor / broker app</x:t>
        </x:is>
      </x:c>
      <x:c r="G34" s="21" t="inlineStr">
        <x:is>
          <x:t xml:space="preserve">First-class raw chain key</x:t>
        </x:is>
      </x:c>
      <x:c r="H34" s="21" t="inlineStr">
        <x:is>
          <x:t xml:space="preserve">Every row</x:t>
        </x:is>
      </x:c>
    </x:row>
    <x:row r="35">
      <x:c r="A35" s="20" t="inlineStr">
        <x:is>
          <x:t xml:space="preserve">Options chain raw</x:t>
        </x:is>
      </x:c>
      <x:c r="B35" s="20" t="inlineStr">
        <x:is>
          <x:t xml:space="preserve">RP32</x:t>
        </x:is>
      </x:c>
      <x:c r="C35" s="21" t="inlineStr">
        <x:is>
          <x:t xml:space="preserve">Bid</x:t>
        </x:is>
      </x:c>
      <x:c r="D35" s="21" t="inlineStr">
        <x:is>
          <x:t xml:space="preserve">premium</x:t>
        </x:is>
      </x:c>
      <x:c r="E35" s="21" t="inlineStr">
        <x:is>
          <x:t xml:space="preserve">Displayed option bid</x:t>
        </x:is>
      </x:c>
      <x:c r="F35" s="21" t="inlineStr">
        <x:is>
          <x:t xml:space="preserve">options vendor / broker app</x:t>
        </x:is>
      </x:c>
      <x:c r="G35" s="21" t="inlineStr">
        <x:is>
          <x:t xml:space="preserve">Raw quote-liquidity field</x:t>
        </x:is>
      </x:c>
      <x:c r="H35" s="21" t="inlineStr">
        <x:is>
          <x:t xml:space="preserve">Every row</x:t>
        </x:is>
      </x:c>
    </x:row>
    <x:row r="36">
      <x:c r="A36" s="20" t="inlineStr">
        <x:is>
          <x:t xml:space="preserve">Options chain raw</x:t>
        </x:is>
      </x:c>
      <x:c r="B36" s="20" t="inlineStr">
        <x:is>
          <x:t xml:space="preserve">RP33</x:t>
        </x:is>
      </x:c>
      <x:c r="C36" s="21" t="inlineStr">
        <x:is>
          <x:t xml:space="preserve">Ask</x:t>
        </x:is>
      </x:c>
      <x:c r="D36" s="21" t="inlineStr">
        <x:is>
          <x:t xml:space="preserve">premium</x:t>
        </x:is>
      </x:c>
      <x:c r="E36" s="21" t="inlineStr">
        <x:is>
          <x:t xml:space="preserve">Displayed option ask</x:t>
        </x:is>
      </x:c>
      <x:c r="F36" s="21" t="inlineStr">
        <x:is>
          <x:t xml:space="preserve">options vendor / broker app</x:t>
        </x:is>
      </x:c>
      <x:c r="G36" s="21" t="inlineStr">
        <x:is>
          <x:t xml:space="preserve">Raw quote-liquidity field</x:t>
        </x:is>
      </x:c>
      <x:c r="H36" s="21" t="inlineStr">
        <x:is>
          <x:t xml:space="preserve">Every row</x:t>
        </x:is>
      </x:c>
    </x:row>
    <x:row r="37">
      <x:c r="A37" s="20" t="inlineStr">
        <x:is>
          <x:t xml:space="preserve">Options chain raw</x:t>
        </x:is>
      </x:c>
      <x:c r="B37" s="20" t="inlineStr">
        <x:is>
          <x:t xml:space="preserve">RP34</x:t>
        </x:is>
      </x:c>
      <x:c r="C37" s="21" t="inlineStr">
        <x:is>
          <x:t xml:space="preserve">Last</x:t>
        </x:is>
      </x:c>
      <x:c r="D37" s="21" t="inlineStr">
        <x:is>
          <x:t xml:space="preserve">premium</x:t>
        </x:is>
      </x:c>
      <x:c r="E37" s="21" t="inlineStr">
        <x:is>
          <x:t xml:space="preserve">Last traded premium</x:t>
        </x:is>
      </x:c>
      <x:c r="F37" s="21" t="inlineStr">
        <x:is>
          <x:t xml:space="preserve">options vendor / broker app</x:t>
        </x:is>
      </x:c>
      <x:c r="G37" s="21" t="inlineStr">
        <x:is>
          <x:t xml:space="preserve">Raw print field</x:t>
        </x:is>
      </x:c>
      <x:c r="H37" s="21" t="inlineStr">
        <x:is>
          <x:t xml:space="preserve">Every row</x:t>
        </x:is>
      </x:c>
    </x:row>
    <x:row r="38">
      <x:c r="A38" s="20" t="inlineStr">
        <x:is>
          <x:t xml:space="preserve">Options chain raw</x:t>
        </x:is>
      </x:c>
      <x:c r="B38" s="20" t="inlineStr">
        <x:is>
          <x:t xml:space="preserve">RP35</x:t>
        </x:is>
      </x:c>
      <x:c r="C38" s="21" t="inlineStr">
        <x:is>
          <x:t xml:space="preserve">Implied vol</x:t>
        </x:is>
      </x:c>
      <x:c r="D38" s="21" t="inlineStr">
        <x:is>
          <x:t xml:space="preserve">percent</x:t>
        </x:is>
      </x:c>
      <x:c r="E38" s="21" t="inlineStr">
        <x:is>
          <x:t xml:space="preserve">Vendor-supplied IV</x:t>
        </x:is>
      </x:c>
      <x:c r="F38" s="21" t="inlineStr">
        <x:is>
          <x:t xml:space="preserve">options vendor / broker app</x:t>
        </x:is>
      </x:c>
      <x:c r="G38" s="21" t="inlineStr">
        <x:is>
          <x:t xml:space="preserve">Raw greeks surface input</x:t>
        </x:is>
      </x:c>
      <x:c r="H38" s="21" t="inlineStr">
        <x:is>
          <x:t xml:space="preserve">Raw only if vendor supplies it</x:t>
        </x:is>
      </x:c>
    </x:row>
    <x:row r="39">
      <x:c r="A39" s="20" t="inlineStr">
        <x:is>
          <x:t xml:space="preserve">Options chain raw</x:t>
        </x:is>
      </x:c>
      <x:c r="B39" s="20" t="inlineStr">
        <x:is>
          <x:t xml:space="preserve">RP36</x:t>
        </x:is>
      </x:c>
      <x:c r="C39" s="21" t="inlineStr">
        <x:is>
          <x:t xml:space="preserve">Delta</x:t>
        </x:is>
      </x:c>
      <x:c r="D39" s="21" t="inlineStr">
        <x:is>
          <x:t xml:space="preserve">decimal</x:t>
        </x:is>
      </x:c>
      <x:c r="E39" s="21" t="inlineStr">
        <x:is>
          <x:t xml:space="preserve">Vendor-supplied delta</x:t>
        </x:is>
      </x:c>
      <x:c r="F39" s="21" t="inlineStr">
        <x:is>
          <x:t xml:space="preserve">options vendor / broker app</x:t>
        </x:is>
      </x:c>
      <x:c r="G39" s="21" t="inlineStr">
        <x:is>
          <x:t xml:space="preserve">Raw chain Greek input</x:t>
        </x:is>
      </x:c>
      <x:c r="H39" s="21" t="inlineStr">
        <x:is>
          <x:t xml:space="preserve">Raw only if vendor supplies it</x:t>
        </x:is>
      </x:c>
    </x:row>
    <x:row r="40">
      <x:c r="A40" s="20" t="inlineStr">
        <x:is>
          <x:t xml:space="preserve">Options chain raw</x:t>
        </x:is>
      </x:c>
      <x:c r="B40" s="20" t="inlineStr">
        <x:is>
          <x:t xml:space="preserve">RP37</x:t>
        </x:is>
      </x:c>
      <x:c r="C40" s="21" t="inlineStr">
        <x:is>
          <x:t xml:space="preserve">Gamma</x:t>
        </x:is>
      </x:c>
      <x:c r="D40" s="21" t="inlineStr">
        <x:is>
          <x:t xml:space="preserve">decimal</x:t>
        </x:is>
      </x:c>
      <x:c r="E40" s="21" t="inlineStr">
        <x:is>
          <x:t xml:space="preserve">Vendor-supplied gamma</x:t>
        </x:is>
      </x:c>
      <x:c r="F40" s="21" t="inlineStr">
        <x:is>
          <x:t xml:space="preserve">options vendor / broker app</x:t>
        </x:is>
      </x:c>
      <x:c r="G40" s="21" t="inlineStr">
        <x:is>
          <x:t xml:space="preserve">Raw chain Greek input</x:t>
        </x:is>
      </x:c>
      <x:c r="H40" s="21" t="inlineStr">
        <x:is>
          <x:t xml:space="preserve">Raw only if vendor supplies it</x:t>
        </x:is>
      </x:c>
    </x:row>
    <x:row r="41">
      <x:c r="A41" s="20" t="inlineStr">
        <x:is>
          <x:t xml:space="preserve">Options chain raw</x:t>
        </x:is>
      </x:c>
      <x:c r="B41" s="20" t="inlineStr">
        <x:is>
          <x:t xml:space="preserve">RP38</x:t>
        </x:is>
      </x:c>
      <x:c r="C41" s="21" t="inlineStr">
        <x:is>
          <x:t xml:space="preserve">Open interest</x:t>
        </x:is>
      </x:c>
      <x:c r="D41" s="21" t="inlineStr">
        <x:is>
          <x:t xml:space="preserve">contracts</x:t>
        </x:is>
      </x:c>
      <x:c r="E41" s="21" t="inlineStr">
        <x:is>
          <x:t xml:space="preserve">Vendor-supplied OI</x:t>
        </x:is>
      </x:c>
      <x:c r="F41" s="21" t="inlineStr">
        <x:is>
          <x:t xml:space="preserve">options vendor / broker app</x:t>
        </x:is>
      </x:c>
      <x:c r="G41" s="21" t="inlineStr">
        <x:is>
          <x:t xml:space="preserve">Crowding and pinning primitive</x:t>
        </x:is>
      </x:c>
      <x:c r="H41" s="21" t="inlineStr">
        <x:is>
          <x:t xml:space="preserve">Raw only if vendor supplies it</x:t>
        </x:is>
      </x:c>
    </x:row>
    <x:row r="42">
      <x:c r="A42" s="20" t="inlineStr">
        <x:is>
          <x:t xml:space="preserve">Options chain raw</x:t>
        </x:is>
      </x:c>
      <x:c r="B42" s="20" t="inlineStr">
        <x:is>
          <x:t xml:space="preserve">RP39</x:t>
        </x:is>
      </x:c>
      <x:c r="C42" s="21" t="inlineStr">
        <x:is>
          <x:t xml:space="preserve">Volume</x:t>
        </x:is>
      </x:c>
      <x:c r="D42" s="21" t="inlineStr">
        <x:is>
          <x:t xml:space="preserve">contracts</x:t>
        </x:is>
      </x:c>
      <x:c r="E42" s="21" t="inlineStr">
        <x:is>
          <x:t xml:space="preserve">Vendor-supplied contract volume</x:t>
        </x:is>
      </x:c>
      <x:c r="F42" s="21" t="inlineStr">
        <x:is>
          <x:t xml:space="preserve">options vendor / broker app</x:t>
        </x:is>
      </x:c>
      <x:c r="G42" s="21" t="inlineStr">
        <x:is>
          <x:t xml:space="preserve">Participation primitive</x:t>
        </x:is>
      </x:c>
      <x:c r="H42" s="21" t="inlineStr">
        <x:is>
          <x:t xml:space="preserve">Raw only if vendor supplies it</x:t>
        </x:is>
      </x:c>
    </x:row>
    <x:row r="43">
      <x:c r="A43" s="20" t="inlineStr">
        <x:is>
          <x:t xml:space="preserve">Options chain raw</x:t>
        </x:is>
      </x:c>
      <x:c r="B43" s="20" t="inlineStr">
        <x:is>
          <x:t xml:space="preserve">RP40</x:t>
        </x:is>
      </x:c>
      <x:c r="C43" s="21" t="inlineStr">
        <x:is>
          <x:t xml:space="preserve">Broker row metric A</x:t>
        </x:is>
      </x:c>
      <x:c r="D43" s="21" t="inlineStr">
        <x:is>
          <x:t xml:space="preserve">vendor-specific</x:t>
        </x:is>
      </x:c>
      <x:c r="E43" s="21" t="inlineStr">
        <x:is>
          <x:t xml:space="preserve">Unlabelled row metric from broker surface</x:t>
        </x:is>
      </x:c>
      <x:c r="F43" s="21" t="inlineStr">
        <x:is>
          <x:t xml:space="preserve">options vendor / broker app</x:t>
        </x:is>
      </x:c>
      <x:c r="G43" s="21" t="inlineStr">
        <x:is>
          <x:t xml:space="preserve">Preserve raw until label is confirmed</x:t>
        </x:is>
      </x:c>
      <x:c r="H43" s="21" t="inlineStr">
        <x:is>
          <x:t xml:space="preserve">Do not infer its meaning prematurely</x:t>
        </x:is>
      </x:c>
    </x:row>
    <x:row r="44">
      <x:c r="A44" s="20" t="inlineStr">
        <x:is>
          <x:t xml:space="preserve">Options chain raw</x:t>
        </x:is>
      </x:c>
      <x:c r="B44" s="20" t="inlineStr">
        <x:is>
          <x:t xml:space="preserve">RP41</x:t>
        </x:is>
      </x:c>
      <x:c r="C44" s="21" t="inlineStr">
        <x:is>
          <x:t xml:space="preserve">Broker row metric B</x:t>
        </x:is>
      </x:c>
      <x:c r="D44" s="21" t="inlineStr">
        <x:is>
          <x:t xml:space="preserve">vendor-specific</x:t>
        </x:is>
      </x:c>
      <x:c r="E44" s="21" t="inlineStr">
        <x:is>
          <x:t xml:space="preserve">Unlabelled row metric from broker surface</x:t>
        </x:is>
      </x:c>
      <x:c r="F44" s="21" t="inlineStr">
        <x:is>
          <x:t xml:space="preserve">options vendor / broker app</x:t>
        </x:is>
      </x:c>
      <x:c r="G44" s="21" t="inlineStr">
        <x:is>
          <x:t xml:space="preserve">Preserve raw until label is confirmed</x:t>
        </x:is>
      </x:c>
      <x:c r="H44" s="21" t="inlineStr">
        <x:is>
          <x:t xml:space="preserve">Do not infer its meaning prematurely</x:t>
        </x:is>
      </x:c>
    </x:row>
    <x:row r="45">
      <x:c r="A45" s="20" t="inlineStr">
        <x:is>
          <x:t xml:space="preserve">Volume baseline raw</x:t>
        </x:is>
      </x:c>
      <x:c r="B45" s="20" t="inlineStr">
        <x:is>
          <x:t xml:space="preserve">RP42</x:t>
        </x:is>
      </x:c>
      <x:c r="C45" s="21" t="inlineStr">
        <x:is>
          <x:t xml:space="preserve">Same-bucket historical median volume</x:t>
        </x:is>
      </x:c>
      <x:c r="D45" s="21" t="inlineStr">
        <x:is>
          <x:t xml:space="preserve">shares / bucket</x:t>
        </x:is>
      </x:c>
      <x:c r="E45" s="21" t="inlineStr">
        <x:is>
          <x:t xml:space="preserve">True intraday participation baseline</x:t>
        </x:is>
      </x:c>
      <x:c r="F45" s="21" t="inlineStr">
        <x:is>
          <x:t xml:space="preserve">historical bar store</x:t>
        </x:is>
      </x:c>
      <x:c r="G45" s="21" t="inlineStr">
        <x:is>
          <x:t xml:space="preserve">Needed for true time-of-day relative volume</x:t>
        </x:is>
      </x:c>
      <x:c r="H45" s="21" t="inlineStr">
        <x:is>
          <x:t xml:space="preserve">Computed offline, stored as raw baseline input to runtime</x:t>
        </x:is>
      </x:c>
    </x:row>
    <x:row r="46">
      <x:c r="A46" s="20" t="inlineStr">
        <x:is>
          <x:t xml:space="preserve">Volume baseline raw</x:t>
        </x:is>
      </x:c>
      <x:c r="B46" s="20" t="inlineStr">
        <x:is>
          <x:t xml:space="preserve">RP43</x:t>
        </x:is>
      </x:c>
      <x:c r="C46" s="21" t="inlineStr">
        <x:is>
          <x:t xml:space="preserve">Same-bucket historical mean volume</x:t>
        </x:is>
      </x:c>
      <x:c r="D46" s="21" t="inlineStr">
        <x:is>
          <x:t xml:space="preserve">shares / bucket</x:t>
        </x:is>
      </x:c>
      <x:c r="E46" s="21" t="inlineStr">
        <x:is>
          <x:t xml:space="preserve">Alternative participation baseline</x:t>
        </x:is>
      </x:c>
      <x:c r="F46" s="21" t="inlineStr">
        <x:is>
          <x:t xml:space="preserve">historical bar store</x:t>
        </x:is>
      </x:c>
      <x:c r="G46" s="21" t="inlineStr">
        <x:is>
          <x:t xml:space="preserve">Useful for averages and sanity checks</x:t>
        </x:is>
      </x:c>
      <x:c r="H46" s="21" t="inlineStr">
        <x:is>
          <x:t xml:space="preserve">Computed offline</x:t>
        </x:is>
      </x:c>
    </x:row>
    <x:row r="47">
      <x:c r="A47" s="20" t="inlineStr">
        <x:is>
          <x:t xml:space="preserve">Volume baseline raw</x:t>
        </x:is>
      </x:c>
      <x:c r="B47" s="20" t="inlineStr">
        <x:is>
          <x:t xml:space="preserve">RP44</x:t>
        </x:is>
      </x:c>
      <x:c r="C47" s="21" t="inlineStr">
        <x:is>
          <x:t xml:space="preserve">Same-bucket historical median trade count</x:t>
        </x:is>
      </x:c>
      <x:c r="D47" s="21" t="inlineStr">
        <x:is>
          <x:t xml:space="preserve">count / bucket</x:t>
        </x:is>
      </x:c>
      <x:c r="E47" s="21" t="inlineStr">
        <x:is>
          <x:t xml:space="preserve">Activity quality baseline</x:t>
        </x:is>
      </x:c>
      <x:c r="F47" s="21" t="inlineStr">
        <x:is>
          <x:t xml:space="preserve">historical trade-count store</x:t>
        </x:is>
      </x:c>
      <x:c r="G47" s="21" t="inlineStr">
        <x:is>
          <x:t xml:space="preserve">Needed for disorder/compression quality checks</x:t>
        </x:is>
      </x:c>
      <x:c r="H47" s="21" t="inlineStr">
        <x:is>
          <x:t xml:space="preserve">Computed offline</x:t>
        </x:is>
      </x:c>
    </x:row>
    <x:row r="48">
      <x:c r="A48" s="20" t="inlineStr">
        <x:is>
          <x:t xml:space="preserve">Volume baseline raw</x:t>
        </x:is>
      </x:c>
      <x:c r="B48" s="20" t="inlineStr">
        <x:is>
          <x:t xml:space="preserve">RP45</x:t>
        </x:is>
      </x:c>
      <x:c r="C48" s="21" t="inlineStr">
        <x:is>
          <x:t xml:space="preserve">Same-bucket historical median spread</x:t>
        </x:is>
      </x:c>
      <x:c r="D48" s="21" t="inlineStr">
        <x:is>
          <x:t xml:space="preserve">bps</x:t>
        </x:is>
      </x:c>
      <x:c r="E48" s="21" t="inlineStr">
        <x:is>
          <x:t xml:space="preserve">Liquidity-cost baseline</x:t>
        </x:is>
      </x:c>
      <x:c r="F48" s="21" t="inlineStr">
        <x:is>
          <x:t xml:space="preserve">historical quote store</x:t>
        </x:is>
      </x:c>
      <x:c r="G48" s="21" t="inlineStr">
        <x:is>
          <x:t xml:space="preserve">Needed for spread stress context</x:t>
        </x:is>
      </x:c>
      <x:c r="H48" s="21" t="inlineStr">
        <x:is>
          <x:t xml:space="preserve">Computed offline</x:t>
        </x:is>
      </x:c>
    </x:row>
    <x:row r="49">
      <x:c r="A49" s="20" t="inlineStr">
        <x:is>
          <x:t xml:space="preserve">Volume baseline raw</x:t>
        </x:is>
      </x:c>
      <x:c r="B49" s="20" t="inlineStr">
        <x:is>
          <x:t xml:space="preserve">RP46</x:t>
        </x:is>
      </x:c>
      <x:c r="C49" s="21" t="inlineStr">
        <x:is>
          <x:t xml:space="preserve">Same-bucket historical volume stdev</x:t>
        </x:is>
      </x:c>
      <x:c r="D49" s="21" t="inlineStr">
        <x:is>
          <x:t xml:space="preserve">shares / bucket</x:t>
        </x:is>
      </x:c>
      <x:c r="E49" s="21" t="inlineStr">
        <x:is>
          <x:t xml:space="preserve">Historical dispersion baseline</x:t>
        </x:is>
      </x:c>
      <x:c r="F49" s="21" t="inlineStr">
        <x:is>
          <x:t xml:space="preserve">historical bar store</x:t>
        </x:is>
      </x:c>
      <x:c r="G49" s="21" t="inlineStr">
        <x:is>
          <x:t xml:space="preserve">Supports z-score style anomaly checks</x:t>
        </x:is>
      </x:c>
      <x:c r="H49" s="21" t="inlineStr">
        <x:is>
          <x:t xml:space="preserve">Computed offline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Derived Features Catalog</x:t>
        </x:is>
      </x:c>
    </x:row>
    <x:row r="2">
      <x:c r="A2" t="inlineStr">
        <x:is>
          <x:t xml:space="preserve">Computed features only. These must be built from raw primitives, not captured as if they were source truth.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Typical Source Class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Temporal derived</x:t>
        </x:is>
      </x:c>
      <x:c r="B4" s="20" t="inlineStr">
        <x:is>
          <x:t xml:space="preserve">DF01</x:t>
        </x:is>
      </x:c>
      <x:c r="C4" s="21" t="inlineStr">
        <x:is>
          <x:t xml:space="preserve">Session VWAP</x:t>
        </x:is>
      </x:c>
      <x:c r="D4" s="21" t="inlineStr">
        <x:is>
          <x:t xml:space="preserve">price</x:t>
        </x:is>
      </x:c>
      <x:c r="E4" s="21" t="inlineStr">
        <x:is>
          <x:t xml:space="preserve">Fair-value anchor during RTH</x:t>
        </x:is>
      </x:c>
      <x:c r="F4" s="21" t="inlineStr">
        <x:is>
          <x:t xml:space="preserve">derived from price x volume</x:t>
        </x:is>
      </x:c>
      <x:c r="G4" s="21" t="inlineStr">
        <x:is>
          <x:t xml:space="preserve">Orderly anchor versus trend extension</x:t>
        </x:is>
      </x:c>
      <x:c r="H4" s="21" t="inlineStr">
        <x:is>
          <x:t xml:space="preserve">Derived only</x:t>
        </x:is>
      </x:c>
    </x:row>
    <x:row r="5">
      <x:c r="A5" s="20" t="inlineStr">
        <x:is>
          <x:t xml:space="preserve">Temporal derived</x:t>
        </x:is>
      </x:c>
      <x:c r="B5" s="20" t="inlineStr">
        <x:is>
          <x:t xml:space="preserve">DF02</x:t>
        </x:is>
      </x:c>
      <x:c r="C5" s="21" t="inlineStr">
        <x:is>
          <x:t xml:space="preserve">Distance to VWAP</x:t>
        </x:is>
      </x:c>
      <x:c r="D5" s="21" t="inlineStr">
        <x:is>
          <x:t xml:space="preserve">bps</x:t>
        </x:is>
      </x:c>
      <x:c r="E5" s="21" t="inlineStr">
        <x:is>
          <x:t xml:space="preserve">Spot versus VWAP</x:t>
        </x:is>
      </x:c>
      <x:c r="F5" s="21" t="inlineStr">
        <x:is>
          <x:t xml:space="preserve">derived from last and VWAP</x:t>
        </x:is>
      </x:c>
      <x:c r="G5" s="21" t="inlineStr">
        <x:is>
          <x:t xml:space="preserve">Orderly anchor versus extension</x:t>
        </x:is>
      </x:c>
      <x:c r="H5" s="21" t="inlineStr">
        <x:is>
          <x:t xml:space="preserve">Signed value</x:t>
        </x:is>
      </x:c>
    </x:row>
    <x:row r="6">
      <x:c r="A6" s="20" t="inlineStr">
        <x:is>
          <x:t xml:space="preserve">Temporal derived</x:t>
        </x:is>
      </x:c>
      <x:c r="B6" s="20" t="inlineStr">
        <x:is>
          <x:t xml:space="preserve">DF03</x:t>
        </x:is>
      </x:c>
      <x:c r="C6" s="21" t="inlineStr">
        <x:is>
          <x:t xml:space="preserve">VWAP slope 5m</x:t>
        </x:is>
      </x:c>
      <x:c r="D6" s="21" t="inlineStr">
        <x:is>
          <x:t xml:space="preserve">bps / 5m</x:t>
        </x:is>
      </x:c>
      <x:c r="E6" s="21" t="inlineStr">
        <x:is>
          <x:t xml:space="preserve">Short-window VWAP trend</x:t>
        </x:is>
      </x:c>
      <x:c r="F6" s="21" t="inlineStr">
        <x:is>
          <x:t xml:space="preserve">derived from rolling VWAP</x:t>
        </x:is>
      </x:c>
      <x:c r="G6" s="21" t="inlineStr">
        <x:is>
          <x:t xml:space="preserve">Trend persistence versus magnet behaviour</x:t>
        </x:is>
      </x:c>
      <x:c r="H6" s="21" t="inlineStr">
        <x:is>
          <x:t xml:space="preserve">Derived only</x:t>
        </x:is>
      </x:c>
    </x:row>
    <x:row r="7">
      <x:c r="A7" s="20" t="inlineStr">
        <x:is>
          <x:t xml:space="preserve">Temporal derived</x:t>
        </x:is>
      </x:c>
      <x:c r="B7" s="20" t="inlineStr">
        <x:is>
          <x:t xml:space="preserve">DF04</x:t>
        </x:is>
      </x:c>
      <x:c r="C7" s="21" t="inlineStr">
        <x:is>
          <x:t xml:space="preserve">Opening-range high 5m</x:t>
        </x:is>
      </x:c>
      <x:c r="D7" s="21" t="inlineStr">
        <x:is>
          <x:t xml:space="preserve">price</x:t>
        </x:is>
      </x:c>
      <x:c r="E7" s="21" t="inlineStr">
        <x:is>
          <x:t xml:space="preserve">High of first 5 minutes</x:t>
        </x:is>
      </x:c>
      <x:c r="F7" s="21" t="inlineStr">
        <x:is>
          <x:t xml:space="preserve">derived from bar path</x:t>
        </x:is>
      </x:c>
      <x:c r="G7" s="21" t="inlineStr">
        <x:is>
          <x:t xml:space="preserve">Opening discovery frame</x:t>
        </x:is>
      </x:c>
      <x:c r="H7" s="21" t="inlineStr">
        <x:is>
          <x:t xml:space="preserve">Derived from raw bars</x:t>
        </x:is>
      </x:c>
    </x:row>
    <x:row r="8">
      <x:c r="A8" s="20" t="inlineStr">
        <x:is>
          <x:t xml:space="preserve">Temporal derived</x:t>
        </x:is>
      </x:c>
      <x:c r="B8" s="20" t="inlineStr">
        <x:is>
          <x:t xml:space="preserve">DF05</x:t>
        </x:is>
      </x:c>
      <x:c r="C8" s="21" t="inlineStr">
        <x:is>
          <x:t xml:space="preserve">Opening-range low 5m</x:t>
        </x:is>
      </x:c>
      <x:c r="D8" s="21" t="inlineStr">
        <x:is>
          <x:t xml:space="preserve">price</x:t>
        </x:is>
      </x:c>
      <x:c r="E8" s="21" t="inlineStr">
        <x:is>
          <x:t xml:space="preserve">Low of first 5 minutes</x:t>
        </x:is>
      </x:c>
      <x:c r="F8" s="21" t="inlineStr">
        <x:is>
          <x:t xml:space="preserve">derived from bar path</x:t>
        </x:is>
      </x:c>
      <x:c r="G8" s="21" t="inlineStr">
        <x:is>
          <x:t xml:space="preserve">Opening discovery frame</x:t>
        </x:is>
      </x:c>
      <x:c r="H8" s="21" t="inlineStr">
        <x:is>
          <x:t xml:space="preserve">Derived from raw bars</x:t>
        </x:is>
      </x:c>
    </x:row>
    <x:row r="9">
      <x:c r="A9" s="20" t="inlineStr">
        <x:is>
          <x:t xml:space="preserve">Temporal derived</x:t>
        </x:is>
      </x:c>
      <x:c r="B9" s="20" t="inlineStr">
        <x:is>
          <x:t xml:space="preserve">DF06</x:t>
        </x:is>
      </x:c>
      <x:c r="C9" s="21" t="inlineStr">
        <x:is>
          <x:t xml:space="preserve">Opening-range break count</x:t>
        </x:is>
      </x:c>
      <x:c r="D9" s="21" t="inlineStr">
        <x:is>
          <x:t xml:space="preserve">count</x:t>
        </x:is>
      </x:c>
      <x:c r="E9" s="21" t="inlineStr">
        <x:is>
          <x:t xml:space="preserve">How often price broke and re-broke opening range</x:t>
        </x:is>
      </x:c>
      <x:c r="F9" s="21" t="inlineStr">
        <x:is>
          <x:t xml:space="preserve">derived from bar path</x:t>
        </x:is>
      </x:c>
      <x:c r="G9" s="21" t="inlineStr">
        <x:is>
          <x:t xml:space="preserve">Unresolved discovery versus stable anchor</x:t>
        </x:is>
      </x:c>
      <x:c r="H9" s="21" t="inlineStr">
        <x:is>
          <x:t xml:space="preserve">Derived only</x:t>
        </x:is>
      </x:c>
    </x:row>
    <x:row r="10">
      <x:c r="A10" s="20" t="inlineStr">
        <x:is>
          <x:t xml:space="preserve">Temporal derived</x:t>
        </x:is>
      </x:c>
      <x:c r="B10" s="20" t="inlineStr">
        <x:is>
          <x:t xml:space="preserve">DF07</x:t>
        </x:is>
      </x:c>
      <x:c r="C10" s="21" t="inlineStr">
        <x:is>
          <x:t xml:space="preserve">Rolling realised vol 5m</x:t>
        </x:is>
      </x:c>
      <x:c r="D10" s="21" t="inlineStr">
        <x:is>
          <x:t xml:space="preserve">bps</x:t>
        </x:is>
      </x:c>
      <x:c r="E10" s="21" t="inlineStr">
        <x:is>
          <x:t xml:space="preserve">Short-window realised volatility</x:t>
        </x:is>
      </x:c>
      <x:c r="F10" s="21" t="inlineStr">
        <x:is>
          <x:t xml:space="preserve">derived from return path</x:t>
        </x:is>
      </x:c>
      <x:c r="G10" s="21" t="inlineStr">
        <x:is>
          <x:t xml:space="preserve">Disorder versus compression</x:t>
        </x:is>
      </x:c>
      <x:c r="H10" s="21" t="inlineStr">
        <x:is>
          <x:t xml:space="preserve">Derived only</x:t>
        </x:is>
      </x:c>
    </x:row>
    <x:row r="11">
      <x:c r="A11" s="20" t="inlineStr">
        <x:is>
          <x:t xml:space="preserve">Temporal derived</x:t>
        </x:is>
      </x:c>
      <x:c r="B11" s="20" t="inlineStr">
        <x:is>
          <x:t xml:space="preserve">DF08</x:t>
        </x:is>
      </x:c>
      <x:c r="C11" s="21" t="inlineStr">
        <x:is>
          <x:t xml:space="preserve">Rolling realised vol 15m</x:t>
        </x:is>
      </x:c>
      <x:c r="D11" s="21" t="inlineStr">
        <x:is>
          <x:t xml:space="preserve">bps</x:t>
        </x:is>
      </x:c>
      <x:c r="E11" s="21" t="inlineStr">
        <x:is>
          <x:t xml:space="preserve">Longer short-window realised volatility</x:t>
        </x:is>
      </x:c>
      <x:c r="F11" s="21" t="inlineStr">
        <x:is>
          <x:t xml:space="preserve">derived from return path</x:t>
        </x:is>
      </x:c>
      <x:c r="G11" s="21" t="inlineStr">
        <x:is>
          <x:t xml:space="preserve">Transient spike versus persistent state</x:t>
        </x:is>
      </x:c>
      <x:c r="H11" s="21" t="inlineStr">
        <x:is>
          <x:t xml:space="preserve">Derived only</x:t>
        </x:is>
      </x:c>
    </x:row>
    <x:row r="12">
      <x:c r="A12" s="20" t="inlineStr">
        <x:is>
          <x:t xml:space="preserve">Temporal derived</x:t>
        </x:is>
      </x:c>
      <x:c r="B12" s="20" t="inlineStr">
        <x:is>
          <x:t xml:space="preserve">DF09</x:t>
        </x:is>
      </x:c>
      <x:c r="C12" s="21" t="inlineStr">
        <x:is>
          <x:t xml:space="preserve">Relative volume ratio</x:t>
        </x:is>
      </x:c>
      <x:c r="D12" s="21" t="inlineStr">
        <x:is>
          <x:t xml:space="preserve">ratio</x:t>
        </x:is>
      </x:c>
      <x:c r="E12" s="21" t="inlineStr">
        <x:is>
          <x:t xml:space="preserve">Observed volume versus historical same-bucket baseline</x:t>
        </x:is>
      </x:c>
      <x:c r="F12" s="21" t="inlineStr">
        <x:is>
          <x:t xml:space="preserve">derived from raw bars + historical baseline</x:t>
        </x:is>
      </x:c>
      <x:c r="G12" s="21" t="inlineStr">
        <x:is>
          <x:t xml:space="preserve">Avoids hard-coded clock buckets as behaviour</x:t>
        </x:is>
      </x:c>
      <x:c r="H12" s="21" t="inlineStr">
        <x:is>
          <x:t xml:space="preserve">True version needs historical baseline inputs</x:t>
        </x:is>
      </x:c>
    </x:row>
    <x:row r="13">
      <x:c r="A13" s="20" t="inlineStr">
        <x:is>
          <x:t xml:space="preserve">Temporal derived</x:t>
        </x:is>
      </x:c>
      <x:c r="B13" s="20" t="inlineStr">
        <x:is>
          <x:t xml:space="preserve">DF10</x:t>
        </x:is>
      </x:c>
      <x:c r="C13" s="21" t="inlineStr">
        <x:is>
          <x:t xml:space="preserve">Rolling 5m range</x:t>
        </x:is>
      </x:c>
      <x:c r="D13" s="21" t="inlineStr">
        <x:is>
          <x:t xml:space="preserve">bps</x:t>
        </x:is>
      </x:c>
      <x:c r="E13" s="21" t="inlineStr">
        <x:is>
          <x:t xml:space="preserve">Recent expansion/compression</x:t>
        </x:is>
      </x:c>
      <x:c r="F13" s="21" t="inlineStr">
        <x:is>
          <x:t xml:space="preserve">derived from bar path</x:t>
        </x:is>
      </x:c>
      <x:c r="G13" s="21" t="inlineStr">
        <x:is>
          <x:t xml:space="preserve">Compression and breakout readiness</x:t>
        </x:is>
      </x:c>
      <x:c r="H13" s="21" t="inlineStr">
        <x:is>
          <x:t xml:space="preserve">Derived only</x:t>
        </x:is>
      </x:c>
    </x:row>
    <x:row r="14">
      <x:c r="A14" s="20" t="inlineStr">
        <x:is>
          <x:t xml:space="preserve">Temporal derived</x:t>
        </x:is>
      </x:c>
      <x:c r="B14" s="20" t="inlineStr">
        <x:is>
          <x:t xml:space="preserve">DF11</x:t>
        </x:is>
      </x:c>
      <x:c r="C14" s="21" t="inlineStr">
        <x:is>
          <x:t xml:space="preserve">Impulse age</x:t>
        </x:is>
      </x:c>
      <x:c r="D14" s="21" t="inlineStr">
        <x:is>
          <x:t xml:space="preserve">minutes or bars</x:t>
        </x:is>
      </x:c>
      <x:c r="E14" s="21" t="inlineStr">
        <x:is>
          <x:t xml:space="preserve">Age of last meaningful impulse move</x:t>
        </x:is>
      </x:c>
      <x:c r="F14" s="21" t="inlineStr">
        <x:is>
          <x:t xml:space="preserve">derived from return path</x:t>
        </x:is>
      </x:c>
      <x:c r="G14" s="21" t="inlineStr">
        <x:is>
          <x:t xml:space="preserve">Anchor versus active trend state</x:t>
        </x:is>
      </x:c>
      <x:c r="H14" s="21" t="inlineStr">
        <x:is>
          <x:t xml:space="preserve">Derived only</x:t>
        </x:is>
      </x:c>
    </x:row>
    <x:row r="15">
      <x:c r="A15" s="20" t="inlineStr">
        <x:is>
          <x:t xml:space="preserve">Options derived</x:t>
        </x:is>
      </x:c>
      <x:c r="B15" s="20" t="inlineStr">
        <x:is>
          <x:t xml:space="preserve">DF12</x:t>
        </x:is>
      </x:c>
      <x:c r="C15" s="21" t="inlineStr">
        <x:is>
          <x:t xml:space="preserve">ATM IV</x:t>
        </x:is>
      </x:c>
      <x:c r="D15" s="21" t="inlineStr">
        <x:is>
          <x:t xml:space="preserve">percent</x:t>
        </x:is>
      </x:c>
      <x:c r="E15" s="21" t="inlineStr">
        <x:is>
          <x:t xml:space="preserve">Current at-the-money IV</x:t>
        </x:is>
      </x:c>
      <x:c r="F15" s="21" t="inlineStr">
        <x:is>
          <x:t xml:space="preserve">derived from raw chain</x:t>
        </x:is>
      </x:c>
      <x:c r="G15" s="21" t="inlineStr">
        <x:is>
          <x:t xml:space="preserve">Base options richness state</x:t>
        </x:is>
      </x:c>
      <x:c r="H15" s="21" t="inlineStr">
        <x:is>
          <x:t xml:space="preserve">Derived from call/put rows near spot</x:t>
        </x:is>
      </x:c>
    </x:row>
    <x:row r="16">
      <x:c r="A16" s="20" t="inlineStr">
        <x:is>
          <x:t xml:space="preserve">Options derived</x:t>
        </x:is>
      </x:c>
      <x:c r="B16" s="20" t="inlineStr">
        <x:is>
          <x:t xml:space="preserve">DF13</x:t>
        </x:is>
      </x:c>
      <x:c r="C16" s="21" t="inlineStr">
        <x:is>
          <x:t xml:space="preserve">IV / historical vol</x:t>
        </x:is>
      </x:c>
      <x:c r="D16" s="21" t="inlineStr">
        <x:is>
          <x:t xml:space="preserve">ratio</x:t>
        </x:is>
      </x:c>
      <x:c r="E16" s="21" t="inlineStr">
        <x:is>
          <x:t xml:space="preserve">Implied versus realised volatility ratio</x:t>
        </x:is>
      </x:c>
      <x:c r="F16" s="21" t="inlineStr">
        <x:is>
          <x:t xml:space="preserve">derived from ATM IV and realised vol</x:t>
        </x:is>
      </x:c>
      <x:c r="G16" s="21" t="inlineStr">
        <x:is>
          <x:t xml:space="preserve">Rich/soft vol surface</x:t>
        </x:is>
      </x:c>
      <x:c r="H16" s="21" t="inlineStr">
        <x:is>
          <x:t xml:space="preserve">Derived only</x:t>
        </x:is>
      </x:c>
    </x:row>
    <x:row r="17">
      <x:c r="A17" s="20" t="inlineStr">
        <x:is>
          <x:t xml:space="preserve">Options derived</x:t>
        </x:is>
      </x:c>
      <x:c r="B17" s="20" t="inlineStr">
        <x:is>
          <x:t xml:space="preserve">DF14</x:t>
        </x:is>
      </x:c>
      <x:c r="C17" s="21" t="inlineStr">
        <x:is>
          <x:t xml:space="preserve">IV change</x:t>
        </x:is>
      </x:c>
      <x:c r="D17" s="21" t="inlineStr">
        <x:is>
          <x:t xml:space="preserve">percentage points</x:t>
        </x:is>
      </x:c>
      <x:c r="E17" s="21" t="inlineStr">
        <x:is>
          <x:t xml:space="preserve">Change in IV versus prior snapshot or close</x:t>
        </x:is>
      </x:c>
      <x:c r="F17" s="21" t="inlineStr">
        <x:is>
          <x:t xml:space="preserve">derived from raw chain history</x:t>
        </x:is>
      </x:c>
      <x:c r="G17" s="21" t="inlineStr">
        <x:is>
          <x:t xml:space="preserve">Detects stress build or release</x:t>
        </x:is>
      </x:c>
      <x:c r="H17" s="21" t="inlineStr">
        <x:is>
          <x:t xml:space="preserve">Derived only</x:t>
        </x:is>
      </x:c>
    </x:row>
    <x:row r="18">
      <x:c r="A18" s="20" t="inlineStr">
        <x:is>
          <x:t xml:space="preserve">Options derived</x:t>
        </x:is>
      </x:c>
      <x:c r="B18" s="20" t="inlineStr">
        <x:is>
          <x:t xml:space="preserve">DF15</x:t>
        </x:is>
      </x:c>
      <x:c r="C18" s="21" t="inlineStr">
        <x:is>
          <x:t xml:space="preserve">Term-structure spread</x:t>
        </x:is>
      </x:c>
      <x:c r="D18" s="21" t="inlineStr">
        <x:is>
          <x:t xml:space="preserve">percentage points</x:t>
        </x:is>
      </x:c>
      <x:c r="E18" s="21" t="inlineStr">
        <x:is>
          <x:t xml:space="preserve">Front versus next expiry IV spread</x:t>
        </x:is>
      </x:c>
      <x:c r="F18" s="21" t="inlineStr">
        <x:is>
          <x:t xml:space="preserve">derived from raw chain</x:t>
        </x:is>
      </x:c>
      <x:c r="G18" s="21" t="inlineStr">
        <x:is>
          <x:t xml:space="preserve">Event stress versus medium-term stress</x:t>
        </x:is>
      </x:c>
      <x:c r="H18" s="21" t="inlineStr">
        <x:is>
          <x:t xml:space="preserve">Derived only</x:t>
        </x:is>
      </x:c>
    </x:row>
    <x:row r="19">
      <x:c r="A19" s="20" t="inlineStr">
        <x:is>
          <x:t xml:space="preserve">Options derived</x:t>
        </x:is>
      </x:c>
      <x:c r="B19" s="20" t="inlineStr">
        <x:is>
          <x:t xml:space="preserve">DF16</x:t>
        </x:is>
      </x:c>
      <x:c r="C19" s="21" t="inlineStr">
        <x:is>
          <x:t xml:space="preserve">Skew slope</x:t>
        </x:is>
      </x:c>
      <x:c r="D19" s="21" t="inlineStr">
        <x:is>
          <x:t xml:space="preserve">percentage points</x:t>
        </x:is>
      </x:c>
      <x:c r="E19" s="21" t="inlineStr">
        <x:is>
          <x:t xml:space="preserve">Put/call or downside/upside skew</x:t>
        </x:is>
      </x:c>
      <x:c r="F19" s="21" t="inlineStr">
        <x:is>
          <x:t xml:space="preserve">derived from raw chain</x:t>
        </x:is>
      </x:c>
      <x:c r="G19" s="21" t="inlineStr">
        <x:is>
          <x:t xml:space="preserve">Downside hedging versus upside chase</x:t>
        </x:is>
      </x:c>
      <x:c r="H19" s="21" t="inlineStr">
        <x:is>
          <x:t xml:space="preserve">Derived only</x:t>
        </x:is>
      </x:c>
    </x:row>
    <x:row r="20">
      <x:c r="A20" s="20" t="inlineStr">
        <x:is>
          <x:t xml:space="preserve">Options derived</x:t>
        </x:is>
      </x:c>
      <x:c r="B20" s="20" t="inlineStr">
        <x:is>
          <x:t xml:space="preserve">DF17</x:t>
        </x:is>
      </x:c>
      <x:c r="C20" s="21" t="inlineStr">
        <x:is>
          <x:t xml:space="preserve">Call/put volume ratio</x:t>
        </x:is>
      </x:c>
      <x:c r="D20" s="21" t="inlineStr">
        <x:is>
          <x:t xml:space="preserve">ratio</x:t>
        </x:is>
      </x:c>
      <x:c r="E20" s="21" t="inlineStr">
        <x:is>
          <x:t xml:space="preserve">Relative call versus put flow</x:t>
        </x:is>
      </x:c>
      <x:c r="F20" s="21" t="inlineStr">
        <x:is>
          <x:t xml:space="preserve">derived from raw chain</x:t>
        </x:is>
      </x:c>
      <x:c r="G20" s="21" t="inlineStr">
        <x:is>
          <x:t xml:space="preserve">Flow bias</x:t>
        </x:is>
      </x:c>
      <x:c r="H20" s="21" t="inlineStr">
        <x:is>
          <x:t xml:space="preserve">Derived only</x:t>
        </x:is>
      </x:c>
    </x:row>
    <x:row r="21">
      <x:c r="A21" s="20" t="inlineStr">
        <x:is>
          <x:t xml:space="preserve">Options derived</x:t>
        </x:is>
      </x:c>
      <x:c r="B21" s="20" t="inlineStr">
        <x:is>
          <x:t xml:space="preserve">DF18</x:t>
        </x:is>
      </x:c>
      <x:c r="C21" s="21" t="inlineStr">
        <x:is>
          <x:t xml:space="preserve">Call/put OI ratio</x:t>
        </x:is>
      </x:c>
      <x:c r="D21" s="21" t="inlineStr">
        <x:is>
          <x:t xml:space="preserve">ratio</x:t>
        </x:is>
      </x:c>
      <x:c r="E21" s="21" t="inlineStr">
        <x:is>
          <x:t xml:space="preserve">Relative call versus put crowding</x:t>
        </x:is>
      </x:c>
      <x:c r="F21" s="21" t="inlineStr">
        <x:is>
          <x:t xml:space="preserve">derived from raw chain</x:t>
        </x:is>
      </x:c>
      <x:c r="G21" s="21" t="inlineStr">
        <x:is>
          <x:t xml:space="preserve">Crowding bias</x:t>
        </x:is>
      </x:c>
      <x:c r="H21" s="21" t="inlineStr">
        <x:is>
          <x:t xml:space="preserve">Derived only</x:t>
        </x:is>
      </x:c>
    </x:row>
    <x:row r="22">
      <x:c r="A22" s="20" t="inlineStr">
        <x:is>
          <x:t xml:space="preserve">Options derived</x:t>
        </x:is>
      </x:c>
      <x:c r="B22" s="20" t="inlineStr">
        <x:is>
          <x:t xml:space="preserve">DF19</x:t>
        </x:is>
      </x:c>
      <x:c r="C22" s="21" t="inlineStr">
        <x:is>
          <x:t xml:space="preserve">Near-spot OI concentration</x:t>
        </x:is>
      </x:c>
      <x:c r="D22" s="21" t="inlineStr">
        <x:is>
          <x:t xml:space="preserve">ratio</x:t>
        </x:is>
      </x:c>
      <x:c r="E22" s="21" t="inlineStr">
        <x:is>
          <x:t xml:space="preserve">Concentration of OI around spot</x:t>
        </x:is>
      </x:c>
      <x:c r="F22" s="21" t="inlineStr">
        <x:is>
          <x:t xml:space="preserve">derived from raw chain</x:t>
        </x:is>
      </x:c>
      <x:c r="G22" s="21" t="inlineStr">
        <x:is>
          <x:t xml:space="preserve">Pinning and squeeze context</x:t>
        </x:is>
      </x:c>
      <x:c r="H22" s="21" t="inlineStr">
        <x:is>
          <x:t xml:space="preserve">Derived only</x:t>
        </x:is>
      </x:c>
    </x:row>
    <x:row r="23">
      <x:c r="A23" s="20" t="inlineStr">
        <x:is>
          <x:t xml:space="preserve">Options derived</x:t>
        </x:is>
      </x:c>
      <x:c r="B23" s="20" t="inlineStr">
        <x:is>
          <x:t xml:space="preserve">DF20</x:t>
        </x:is>
      </x:c>
      <x:c r="C23" s="21" t="inlineStr">
        <x:is>
          <x:t xml:space="preserve">Dominant strike</x:t>
        </x:is>
      </x:c>
      <x:c r="D23" s="21" t="inlineStr">
        <x:is>
          <x:t xml:space="preserve">price</x:t>
        </x:is>
      </x:c>
      <x:c r="E23" s="21" t="inlineStr">
        <x:is>
          <x:t xml:space="preserve">Strike with dominant near-spot activity</x:t>
        </x:is>
      </x:c>
      <x:c r="F23" s="21" t="inlineStr">
        <x:is>
          <x:t xml:space="preserve">derived from raw chain</x:t>
        </x:is>
      </x:c>
      <x:c r="G23" s="21" t="inlineStr">
        <x:is>
          <x:t xml:space="preserve">Pin and magnet analysis</x:t>
        </x:is>
      </x:c>
      <x:c r="H23" s="21" t="inlineStr">
        <x:is>
          <x:t xml:space="preserve">Derived only</x:t>
        </x:is>
      </x:c>
    </x:row>
    <x:row r="24">
      <x:c r="A24" s="20" t="inlineStr">
        <x:is>
          <x:t xml:space="preserve">Options derived</x:t>
        </x:is>
      </x:c>
      <x:c r="B24" s="20" t="inlineStr">
        <x:is>
          <x:t xml:space="preserve">DF21</x:t>
        </x:is>
      </x:c>
      <x:c r="C24" s="21" t="inlineStr">
        <x:is>
          <x:t xml:space="preserve">Spot-to-pin distance</x:t>
        </x:is>
      </x:c>
      <x:c r="D24" s="21" t="inlineStr">
        <x:is>
          <x:t xml:space="preserve">percent</x:t>
        </x:is>
      </x:c>
      <x:c r="E24" s="21" t="inlineStr">
        <x:is>
          <x:t xml:space="preserve">Distance from spot to dominant strike</x:t>
        </x:is>
      </x:c>
      <x:c r="F24" s="21" t="inlineStr">
        <x:is>
          <x:t xml:space="preserve">derived from raw chain + underlying spot</x:t>
        </x:is>
      </x:c>
      <x:c r="G24" s="21" t="inlineStr">
        <x:is>
          <x:t xml:space="preserve">Pin proximity</x:t>
        </x:is>
      </x:c>
      <x:c r="H24" s="21" t="inlineStr">
        <x:is>
          <x:t xml:space="preserve">Derived only</x:t>
        </x:is>
      </x:c>
    </x:row>
    <x:row r="25">
      <x:c r="A25" s="20" t="inlineStr">
        <x:is>
          <x:t xml:space="preserve">Options derived</x:t>
        </x:is>
      </x:c>
      <x:c r="B25" s="20" t="inlineStr">
        <x:is>
          <x:t xml:space="preserve">DF22</x:t>
        </x:is>
      </x:c>
      <x:c r="C25" s="21" t="inlineStr">
        <x:is>
          <x:t xml:space="preserve">Pin progression</x:t>
        </x:is>
      </x:c>
      <x:c r="D25" s="21" t="inlineStr">
        <x:is>
          <x:t xml:space="preserve">state or signed delta</x:t>
        </x:is>
      </x:c>
      <x:c r="E25" s="21" t="inlineStr">
        <x:is>
          <x:t xml:space="preserve">Movement toward or away from dominant strike</x:t>
        </x:is>
      </x:c>
      <x:c r="F25" s="21" t="inlineStr">
        <x:is>
          <x:t xml:space="preserve">derived from raw snapshot sequence</x:t>
        </x:is>
      </x:c>
      <x:c r="G25" s="21" t="inlineStr">
        <x:is>
          <x:t xml:space="preserve">Pin build versus release</x:t>
        </x:is>
      </x:c>
      <x:c r="H25" s="21" t="inlineStr">
        <x:is>
          <x:t xml:space="preserve">Derived only</x:t>
        </x:is>
      </x:c>
    </x:row>
    <x:row r="26">
      <x:c r="A26" s="20" t="inlineStr">
        <x:is>
          <x:t xml:space="preserve">Options derived</x:t>
        </x:is>
      </x:c>
      <x:c r="B26" s="20" t="inlineStr">
        <x:is>
          <x:t xml:space="preserve">DF23</x:t>
        </x:is>
      </x:c>
      <x:c r="C26" s="21" t="inlineStr">
        <x:is>
          <x:t xml:space="preserve">Gamma pressure score</x:t>
        </x:is>
      </x:c>
      <x:c r="D26" s="21" t="inlineStr">
        <x:is>
          <x:t xml:space="preserve">0 to 1</x:t>
        </x:is>
      </x:c>
      <x:c r="E26" s="21" t="inlineStr">
        <x:is>
          <x:t xml:space="preserve">Compressed dealer-pressure proxy</x:t>
        </x:is>
      </x:c>
      <x:c r="F26" s="21" t="inlineStr">
        <x:is>
          <x:t xml:space="preserve">derived from raw chain + gamma inputs</x:t>
        </x:is>
      </x:c>
      <x:c r="G26" s="21" t="inlineStr">
        <x:is>
          <x:t xml:space="preserve">Stabilising versus destabilising flow</x:t>
        </x:is>
      </x:c>
      <x:c r="H26" s="21" t="inlineStr">
        <x:is>
          <x:t xml:space="preserve">Derived only</x:t>
        </x:is>
      </x:c>
    </x:row>
    <x:row r="27">
      <x:c r="A27" s="20" t="inlineStr">
        <x:is>
          <x:t xml:space="preserve">Options derived</x:t>
        </x:is>
      </x:c>
      <x:c r="B27" s="20" t="inlineStr">
        <x:is>
          <x:t xml:space="preserve">DF24</x:t>
        </x:is>
      </x:c>
      <x:c r="C27" s="21" t="inlineStr">
        <x:is>
          <x:t xml:space="preserve">Strike-cluster state</x:t>
        </x:is>
      </x:c>
      <x:c r="D27" s="21" t="inlineStr">
        <x:is>
          <x:t xml:space="preserve">label</x:t>
        </x:is>
      </x:c>
      <x:c r="E27" s="21" t="inlineStr">
        <x:is>
          <x:t xml:space="preserve">Live pin cluster versus distributed cluster</x:t>
        </x:is>
      </x:c>
      <x:c r="F27" s="21" t="inlineStr">
        <x:is>
          <x:t xml:space="preserve">derived from raw chain</x:t>
        </x:is>
      </x:c>
      <x:c r="G27" s="21" t="inlineStr">
        <x:is>
          <x:t xml:space="preserve">Supports pin-specific playbooks</x:t>
        </x:is>
      </x:c>
      <x:c r="H27" s="21" t="inlineStr">
        <x:is>
          <x:t xml:space="preserve">Derived only</x:t>
        </x:is>
      </x:c>
    </x:row>
    <x:row r="28">
      <x:c r="A28" s="20" t="inlineStr">
        <x:is>
          <x:t xml:space="preserve">Options derived</x:t>
        </x:is>
      </x:c>
      <x:c r="B28" s="20" t="inlineStr">
        <x:is>
          <x:t xml:space="preserve">DF25</x:t>
        </x:is>
      </x:c>
      <x:c r="C28" s="21" t="inlineStr">
        <x:is>
          <x:t xml:space="preserve">Front-expiry pin pressure state</x:t>
        </x:is>
      </x:c>
      <x:c r="D28" s="21" t="inlineStr">
        <x:is>
          <x:t xml:space="preserve">label</x:t>
        </x:is>
      </x:c>
      <x:c r="E28" s="21" t="inlineStr">
        <x:is>
          <x:t xml:space="preserve">Front expiry pin build/stable/release state</x:t>
        </x:is>
      </x:c>
      <x:c r="F28" s="21" t="inlineStr">
        <x:is>
          <x:t xml:space="preserve">derived from raw chain + pin progression</x:t>
        </x:is>
      </x:c>
      <x:c r="G28" s="21" t="inlineStr">
        <x:is>
          <x:t xml:space="preserve">Dedicated options-first playbook input</x:t>
        </x:is>
      </x:c>
      <x:c r="H28" s="21" t="inlineStr">
        <x:is>
          <x:t xml:space="preserve">Derived only</x:t>
        </x:is>
      </x:c>
    </x:row>
    <x:row r="29">
      <x:c r="A29" s="20" t="inlineStr">
        <x:is>
          <x:t xml:space="preserve">Options derived</x:t>
        </x:is>
      </x:c>
      <x:c r="B29" s="20" t="inlineStr">
        <x:is>
          <x:t xml:space="preserve">DF26</x:t>
        </x:is>
      </x:c>
      <x:c r="C29" s="21" t="inlineStr">
        <x:is>
          <x:t xml:space="preserve">Term-structure dislocation state</x:t>
        </x:is>
      </x:c>
      <x:c r="D29" s="21" t="inlineStr">
        <x:is>
          <x:t xml:space="preserve">label</x:t>
        </x:is>
      </x:c>
      <x:c r="E29" s="21" t="inlineStr">
        <x:is>
          <x:t xml:space="preserve">Front-loaded or back-loaded dislocation state</x:t>
        </x:is>
      </x:c>
      <x:c r="F29" s="21" t="inlineStr">
        <x:is>
          <x:t xml:space="preserve">derived from raw chain across expiries</x:t>
        </x:is>
      </x:c>
      <x:c r="G29" s="21" t="inlineStr">
        <x:is>
          <x:t xml:space="preserve">Dedicated options-first playbook input</x:t>
        </x:is>
      </x:c>
      <x:c r="H29" s="21" t="inlineStr">
        <x:is>
          <x:t xml:space="preserve">Derived only</x:t>
        </x:is>
      </x:c>
    </x:row>
    <x:row r="30">
      <x:c r="A30" s="20" t="inlineStr">
        <x:is>
          <x:t xml:space="preserve">Options derived</x:t>
        </x:is>
      </x:c>
      <x:c r="B30" s="20" t="inlineStr">
        <x:is>
          <x:t xml:space="preserve">DF27</x:t>
        </x:is>
      </x:c>
      <x:c r="C30" s="21" t="inlineStr">
        <x:is>
          <x:t xml:space="preserve">Skew pressure state</x:t>
        </x:is>
      </x:c>
      <x:c r="D30" s="21" t="inlineStr">
        <x:is>
          <x:t xml:space="preserve">label</x:t>
        </x:is>
      </x:c>
      <x:c r="E30" s="21" t="inlineStr">
        <x:is>
          <x:t xml:space="preserve">Downside hedging or upside chase pressure state</x:t>
        </x:is>
      </x:c>
      <x:c r="F30" s="21" t="inlineStr">
        <x:is>
          <x:t xml:space="preserve">derived from raw chain</x:t>
        </x:is>
      </x:c>
      <x:c r="G30" s="21" t="inlineStr">
        <x:is>
          <x:t xml:space="preserve">Dedicated options-first playbook input</x:t>
        </x:is>
      </x:c>
      <x:c r="H30" s="21" t="inlineStr">
        <x:is>
          <x:t xml:space="preserve">Derived only</x:t>
        </x:is>
      </x:c>
    </x:row>
    <x:row r="31">
      <x:c r="A31" s="20" t="inlineStr">
        <x:is>
          <x:t xml:space="preserve">Regime derived</x:t>
        </x:is>
      </x:c>
      <x:c r="B31" s="20" t="inlineStr">
        <x:is>
          <x:t xml:space="preserve">DF28</x:t>
        </x:is>
      </x:c>
      <x:c r="C31" s="21" t="inlineStr">
        <x:is>
          <x:t xml:space="preserve">Breadth score</x:t>
        </x:is>
      </x:c>
      <x:c r="D31" s="21" t="inlineStr">
        <x:is>
          <x:t xml:space="preserve">ratio</x:t>
        </x:is>
      </x:c>
      <x:c r="E31" s="21" t="inlineStr">
        <x:is>
          <x:t xml:space="preserve">Breadth normalisation</x:t>
        </x:is>
      </x:c>
      <x:c r="F31" s="21" t="inlineStr">
        <x:is>
          <x:t xml:space="preserve">derived from raw breadth counts</x:t>
        </x:is>
      </x:c>
      <x:c r="G31" s="21" t="inlineStr">
        <x:is>
          <x:t xml:space="preserve">Broad versus narrow tape</x:t>
        </x:is>
      </x:c>
      <x:c r="H31" s="21" t="inlineStr">
        <x:is>
          <x:t xml:space="preserve">Derived only</x:t>
        </x:is>
      </x:c>
    </x:row>
    <x:row r="32">
      <x:c r="A32" s="20" t="inlineStr">
        <x:is>
          <x:t xml:space="preserve">Regime derived</x:t>
        </x:is>
      </x:c>
      <x:c r="B32" s="20" t="inlineStr">
        <x:is>
          <x:t xml:space="preserve">DF29</x:t>
        </x:is>
      </x:c>
      <x:c r="C32" s="21" t="inlineStr">
        <x:is>
          <x:t xml:space="preserve">Concentration score</x:t>
        </x:is>
      </x:c>
      <x:c r="D32" s="21" t="inlineStr">
        <x:is>
          <x:t xml:space="preserve">ratio</x:t>
        </x:is>
      </x:c>
      <x:c r="E32" s="21" t="inlineStr">
        <x:is>
          <x:t xml:space="preserve">Concentration normalisation</x:t>
        </x:is>
      </x:c>
      <x:c r="F32" s="21" t="inlineStr">
        <x:is>
          <x:t xml:space="preserve">derived from raw constituents / returns</x:t>
        </x:is>
      </x:c>
      <x:c r="G32" s="21" t="inlineStr">
        <x:is>
          <x:t xml:space="preserve">Broad tape quality</x:t>
        </x:is>
      </x:c>
      <x:c r="H32" s="21" t="inlineStr">
        <x:is>
          <x:t xml:space="preserve">Derived only</x:t>
        </x:is>
      </x:c>
    </x:row>
    <x:row r="33">
      <x:c r="A33" s="20" t="inlineStr">
        <x:is>
          <x:t xml:space="preserve">Regime derived</x:t>
        </x:is>
      </x:c>
      <x:c r="B33" s="20" t="inlineStr">
        <x:is>
          <x:t xml:space="preserve">DF30</x:t>
        </x:is>
      </x:c>
      <x:c r="C33" s="21" t="inlineStr">
        <x:is>
          <x:t xml:space="preserve">Market regime label</x:t>
        </x:is>
      </x:c>
      <x:c r="D33" s="21" t="inlineStr">
        <x:is>
          <x:t xml:space="preserve">label</x:t>
        </x:is>
      </x:c>
      <x:c r="E33" s="21" t="inlineStr">
        <x:is>
          <x:t xml:space="preserve">Supportive/hostile/balanced tape state</x:t>
        </x:is>
      </x:c>
      <x:c r="F33" s="21" t="inlineStr">
        <x:is>
          <x:t xml:space="preserve">derived from raw cross-asset inputs</x:t>
        </x:is>
      </x:c>
      <x:c r="G33" s="21" t="inlineStr">
        <x:is>
          <x:t xml:space="preserve">Stage-2 regime output precursor</x:t>
        </x:is>
      </x:c>
      <x:c r="H33" s="21" t="inlineStr">
        <x:is>
          <x:t xml:space="preserve">Derived only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Options Chain Raw Capture Spec</x:t>
        </x:is>
      </x:c>
    </x:row>
    <x:row r="2">
      <x:c r="A2" t="inlineStr">
        <x:is>
          <x:t xml:space="preserve">Dense front-expiry capture; coarser farther-tenor capture. Preserve raw chain rows first, derive state later.</x:t>
        </x:is>
      </x:c>
    </x:row>
    <x:row r="3">
      <x:c r="A3" s="15" t="inlineStr">
        <x:is>
          <x:t xml:space="preserve">Section</x:t>
        </x:is>
      </x:c>
      <x:c r="B3" s="15" t="inlineStr">
        <x:is>
          <x:t xml:space="preserve">Spec_ID</x:t>
        </x:is>
      </x:c>
      <x:c r="C3" s="15" t="inlineStr">
        <x:is>
          <x:t xml:space="preserve">Name</x:t>
        </x:is>
      </x:c>
      <x:c r="D3" s="15" t="inlineStr">
        <x:is>
          <x:t xml:space="preserve">Value / Unit</x:t>
        </x:is>
      </x:c>
      <x:c r="E3" s="15" t="inlineStr">
        <x:is>
          <x:t xml:space="preserve">Purpose</x:t>
        </x:is>
      </x:c>
      <x:c r="F3" s="15" t="inlineStr">
        <x:is>
          <x:t xml:space="preserve">Capture Policy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Dense capture policy</x:t>
        </x:is>
      </x:c>
      <x:c r="B4" s="20" t="inlineStr">
        <x:is>
          <x:t xml:space="preserve">OCS01</x:t>
        </x:is>
      </x:c>
      <x:c r="C4" s="21" t="inlineStr">
        <x:is>
          <x:t xml:space="preserve">Dense expiries</x:t>
        </x:is>
      </x:c>
      <x:c r="D4" s="21" t="inlineStr">
        <x:is>
          <x:t xml:space="preserve">front 2 expiries</x:t>
        </x:is>
      </x:c>
      <x:c r="E4" s="21" t="inlineStr">
        <x:is>
          <x:t xml:space="preserve">High-resolution live options monitoring</x:t>
        </x:is>
      </x:c>
      <x:c r="F4" s="21" t="inlineStr">
        <x:is>
          <x:t xml:space="preserve">Capture every 30 seconds during RTH</x:t>
        </x:is>
      </x:c>
      <x:c r="G4" s="21" t="inlineStr">
        <x:is>
          <x:t xml:space="preserve">These expiries drive pin, dislocation, and skew transitions most directly</x:t>
        </x:is>
      </x:c>
      <x:c r="H4" s="21" t="inlineStr">
        <x:is>
          <x:t xml:space="preserve">Do not skip because the chain is “too noisy”</x:t>
        </x:is>
      </x:c>
    </x:row>
    <x:row r="5">
      <x:c r="A5" s="20" t="inlineStr">
        <x:is>
          <x:t xml:space="preserve">Dense capture policy</x:t>
        </x:is>
      </x:c>
      <x:c r="B5" s="20" t="inlineStr">
        <x:is>
          <x:t xml:space="preserve">OCS02</x:t>
        </x:is>
      </x:c>
      <x:c r="C5" s="21" t="inlineStr">
        <x:is>
          <x:t xml:space="preserve">Dense strike band</x:t>
        </x:is>
      </x:c>
      <x:c r="D5" s="21" t="inlineStr">
        <x:is>
          <x:t xml:space="preserve">near-spot strikes</x:t>
        </x:is>
      </x:c>
      <x:c r="E5" s="21" t="inlineStr">
        <x:is>
          <x:t xml:space="preserve">High-resolution strike neighbourhood</x:t>
        </x:is>
      </x:c>
      <x:c r="F5" s="21" t="inlineStr">
        <x:is>
          <x:t xml:space="preserve">Capture the near-spot strike band each loop</x:t>
        </x:is>
      </x:c>
      <x:c r="G5" s="21" t="inlineStr">
        <x:is>
          <x:t xml:space="preserve">Most useful dealer-flow information sits near spot</x:t>
        </x:is>
      </x:c>
      <x:c r="H5" s="21" t="inlineStr">
        <x:is>
          <x:t xml:space="preserve">Use spot-relative band or delta band</x:t>
        </x:is>
      </x:c>
    </x:row>
    <x:row r="6">
      <x:c r="A6" s="20" t="inlineStr">
        <x:is>
          <x:t xml:space="preserve">Dense capture policy</x:t>
        </x:is>
      </x:c>
      <x:c r="B6" s="20" t="inlineStr">
        <x:is>
          <x:t xml:space="preserve">OCS03</x:t>
        </x:is>
      </x:c>
      <x:c r="C6" s="21" t="inlineStr">
        <x:is>
          <x:t xml:space="preserve">Coarse tenor capture</x:t>
        </x:is>
      </x:c>
      <x:c r="D6" s="21" t="inlineStr">
        <x:is>
          <x:t xml:space="preserve">expiry 3 onward</x:t>
        </x:is>
      </x:c>
      <x:c r="E6" s="21" t="inlineStr">
        <x:is>
          <x:t xml:space="preserve">Term-structure context without landfill</x:t>
        </x:is>
      </x:c>
      <x:c r="F6" s="21" t="inlineStr">
        <x:is>
          <x:t xml:space="preserve">Capture coarser summary farther out</x:t>
        </x:is>
      </x:c>
      <x:c r="G6" s="21" t="inlineStr">
        <x:is>
          <x:t xml:space="preserve">Avoid full 365-day chain every 30 seconds</x:t>
        </x:is>
      </x:c>
      <x:c r="H6" s="21" t="inlineStr">
        <x:is>
          <x:t xml:space="preserve">Summaries can be built from sampled rows</x:t>
        </x:is>
      </x:c>
    </x:row>
    <x:row r="7">
      <x:c r="A7" s="20" t="inlineStr">
        <x:is>
          <x:t xml:space="preserve">Raw row key</x:t>
        </x:is>
      </x:c>
      <x:c r="B7" s="20" t="inlineStr">
        <x:is>
          <x:t xml:space="preserve">OCS04</x:t>
        </x:is>
      </x:c>
      <x:c r="C7" s="21" t="inlineStr">
        <x:is>
          <x:t xml:space="preserve">Timestamp</x:t>
        </x:is>
      </x:c>
      <x:c r="D7" s="21" t="inlineStr">
        <x:is>
          <x:t xml:space="preserve">datetime</x:t>
        </x:is>
      </x:c>
      <x:c r="E7" s="21" t="inlineStr">
        <x:is>
          <x:t xml:space="preserve">Snapshot key</x:t>
        </x:is>
      </x:c>
      <x:c r="F7" s="21" t="inlineStr">
        <x:is>
          <x:t xml:space="preserve">Store once per row or per snapshot header</x:t>
        </x:is>
      </x:c>
      <x:c r="G7" s="21" t="inlineStr">
        <x:is>
          <x:t xml:space="preserve">Needed for sequence logic</x:t>
        </x:is>
      </x:c>
      <x:c r="H7" s="21" t="inlineStr">
        <x:is>
          <x:t xml:space="preserve">Exchange / vendor timestamp preferred</x:t>
        </x:is>
      </x:c>
    </x:row>
    <x:row r="8">
      <x:c r="A8" s="20" t="inlineStr">
        <x:is>
          <x:t xml:space="preserve">Raw row key</x:t>
        </x:is>
      </x:c>
      <x:c r="B8" s="20" t="inlineStr">
        <x:is>
          <x:t xml:space="preserve">OCS05</x:t>
        </x:is>
      </x:c>
      <x:c r="C8" s="21" t="inlineStr">
        <x:is>
          <x:t xml:space="preserve">Expiry</x:t>
        </x:is>
      </x:c>
      <x:c r="D8" s="21" t="inlineStr">
        <x:is>
          <x:t xml:space="preserve">date</x:t>
        </x:is>
      </x:c>
      <x:c r="E8" s="21" t="inlineStr">
        <x:is>
          <x:t xml:space="preserve">Snapshot key</x:t>
        </x:is>
      </x:c>
      <x:c r="F8" s="21" t="inlineStr">
        <x:is>
          <x:t xml:space="preserve">Every captured row</x:t>
        </x:is>
      </x:c>
      <x:c r="G8" s="21" t="inlineStr">
        <x:is>
          <x:t xml:space="preserve">Needed for DTE and tenor grouping</x:t>
        </x:is>
      </x:c>
      <x:c r="H8" s="21" t="inlineStr">
        <x:is>
          <x:t xml:space="preserve">Raw</x:t>
        </x:is>
      </x:c>
    </x:row>
    <x:row r="9">
      <x:c r="A9" s="20" t="inlineStr">
        <x:is>
          <x:t xml:space="preserve">Raw row key</x:t>
        </x:is>
      </x:c>
      <x:c r="B9" s="20" t="inlineStr">
        <x:is>
          <x:t xml:space="preserve">OCS06</x:t>
        </x:is>
      </x:c>
      <x:c r="C9" s="21" t="inlineStr">
        <x:is>
          <x:t xml:space="preserve">DTE</x:t>
        </x:is>
      </x:c>
      <x:c r="D9" s="21" t="inlineStr">
        <x:is>
          <x:t xml:space="preserve">days</x:t>
        </x:is>
      </x:c>
      <x:c r="E9" s="21" t="inlineStr">
        <x:is>
          <x:t xml:space="preserve">Snapshot key</x:t>
        </x:is>
      </x:c>
      <x:c r="F9" s="21" t="inlineStr">
        <x:is>
          <x:t xml:space="preserve">Every captured row</x:t>
        </x:is>
      </x:c>
      <x:c r="G9" s="21" t="inlineStr">
        <x:is>
          <x:t xml:space="preserve">Needed for tenor grouping</x:t>
        </x:is>
      </x:c>
      <x:c r="H9" s="21" t="inlineStr">
        <x:is>
          <x:t xml:space="preserve">Raw if vendor supplies; else derive from expiry and ts</x:t>
        </x:is>
      </x:c>
    </x:row>
    <x:row r="10">
      <x:c r="A10" s="20" t="inlineStr">
        <x:is>
          <x:t xml:space="preserve">Raw row key</x:t>
        </x:is>
      </x:c>
      <x:c r="B10" s="20" t="inlineStr">
        <x:is>
          <x:t xml:space="preserve">OCS07</x:t>
        </x:is>
      </x:c>
      <x:c r="C10" s="21" t="inlineStr">
        <x:is>
          <x:t xml:space="preserve">Strike</x:t>
        </x:is>
      </x:c>
      <x:c r="D10" s="21" t="inlineStr">
        <x:is>
          <x:t xml:space="preserve">price</x:t>
        </x:is>
      </x:c>
      <x:c r="E10" s="21" t="inlineStr">
        <x:is>
          <x:t xml:space="preserve">Snapshot key</x:t>
        </x:is>
      </x:c>
      <x:c r="F10" s="21" t="inlineStr">
        <x:is>
          <x:t xml:space="preserve">Every captured row</x:t>
        </x:is>
      </x:c>
      <x:c r="G10" s="21" t="inlineStr">
        <x:is>
          <x:t xml:space="preserve">Needed for clustering and pin work</x:t>
        </x:is>
      </x:c>
      <x:c r="H10" s="21" t="inlineStr">
        <x:is>
          <x:t xml:space="preserve">Raw</x:t>
        </x:is>
      </x:c>
    </x:row>
    <x:row r="11">
      <x:c r="A11" s="20" t="inlineStr">
        <x:is>
          <x:t xml:space="preserve">Raw row key</x:t>
        </x:is>
      </x:c>
      <x:c r="B11" s="20" t="inlineStr">
        <x:is>
          <x:t xml:space="preserve">OCS08</x:t>
        </x:is>
      </x:c>
      <x:c r="C11" s="21" t="inlineStr">
        <x:is>
          <x:t xml:space="preserve">Side</x:t>
        </x:is>
      </x:c>
      <x:c r="D11" s="21" t="inlineStr">
        <x:is>
          <x:t xml:space="preserve">call/put</x:t>
        </x:is>
      </x:c>
      <x:c r="E11" s="21" t="inlineStr">
        <x:is>
          <x:t xml:space="preserve">Snapshot key</x:t>
        </x:is>
      </x:c>
      <x:c r="F11" s="21" t="inlineStr">
        <x:is>
          <x:t xml:space="preserve">Every captured row</x:t>
        </x:is>
      </x:c>
      <x:c r="G11" s="21" t="inlineStr">
        <x:is>
          <x:t xml:space="preserve">Needed for skew and pressure work</x:t>
        </x:is>
      </x:c>
      <x:c r="H11" s="21" t="inlineStr">
        <x:is>
          <x:t xml:space="preserve">Raw</x:t>
        </x:is>
      </x:c>
    </x:row>
    <x:row r="12">
      <x:c r="A12" s="20" t="inlineStr">
        <x:is>
          <x:t xml:space="preserve">Row quote field</x:t>
        </x:is>
      </x:c>
      <x:c r="B12" s="20" t="inlineStr">
        <x:is>
          <x:t xml:space="preserve">OCS09</x:t>
        </x:is>
      </x:c>
      <x:c r="C12" s="21" t="inlineStr">
        <x:is>
          <x:t xml:space="preserve">Bid</x:t>
        </x:is>
      </x:c>
      <x:c r="D12" s="21" t="inlineStr">
        <x:is>
          <x:t xml:space="preserve">premium</x:t>
        </x:is>
      </x:c>
      <x:c r="E12" s="21" t="inlineStr">
        <x:is>
          <x:t xml:space="preserve">Displayed quote</x:t>
        </x:is>
      </x:c>
      <x:c r="F12" s="21" t="inlineStr">
        <x:is>
          <x:t xml:space="preserve">Every captured row</x:t>
        </x:is>
      </x:c>
      <x:c r="G12" s="21" t="inlineStr">
        <x:is>
          <x:t xml:space="preserve">Quote-liquidity primitive</x:t>
        </x:is>
      </x:c>
      <x:c r="H12" s="21" t="inlineStr">
        <x:is>
          <x:t xml:space="preserve">Raw</x:t>
        </x:is>
      </x:c>
    </x:row>
    <x:row r="13">
      <x:c r="A13" s="20" t="inlineStr">
        <x:is>
          <x:t xml:space="preserve">Row quote field</x:t>
        </x:is>
      </x:c>
      <x:c r="B13" s="20" t="inlineStr">
        <x:is>
          <x:t xml:space="preserve">OCS10</x:t>
        </x:is>
      </x:c>
      <x:c r="C13" s="21" t="inlineStr">
        <x:is>
          <x:t xml:space="preserve">Ask</x:t>
        </x:is>
      </x:c>
      <x:c r="D13" s="21" t="inlineStr">
        <x:is>
          <x:t xml:space="preserve">premium</x:t>
        </x:is>
      </x:c>
      <x:c r="E13" s="21" t="inlineStr">
        <x:is>
          <x:t xml:space="preserve">Displayed quote</x:t>
        </x:is>
      </x:c>
      <x:c r="F13" s="21" t="inlineStr">
        <x:is>
          <x:t xml:space="preserve">Every captured row</x:t>
        </x:is>
      </x:c>
      <x:c r="G13" s="21" t="inlineStr">
        <x:is>
          <x:t xml:space="preserve">Quote-liquidity primitive</x:t>
        </x:is>
      </x:c>
      <x:c r="H13" s="21" t="inlineStr">
        <x:is>
          <x:t xml:space="preserve">Raw</x:t>
        </x:is>
      </x:c>
    </x:row>
    <x:row r="14">
      <x:c r="A14" s="20" t="inlineStr">
        <x:is>
          <x:t xml:space="preserve">Row quote field</x:t>
        </x:is>
      </x:c>
      <x:c r="B14" s="20" t="inlineStr">
        <x:is>
          <x:t xml:space="preserve">OCS11</x:t>
        </x:is>
      </x:c>
      <x:c r="C14" s="21" t="inlineStr">
        <x:is>
          <x:t xml:space="preserve">Last</x:t>
        </x:is>
      </x:c>
      <x:c r="D14" s="21" t="inlineStr">
        <x:is>
          <x:t xml:space="preserve">premium</x:t>
        </x:is>
      </x:c>
      <x:c r="E14" s="21" t="inlineStr">
        <x:is>
          <x:t xml:space="preserve">Last trade</x:t>
        </x:is>
      </x:c>
      <x:c r="F14" s="21" t="inlineStr">
        <x:is>
          <x:t xml:space="preserve">Every captured row</x:t>
        </x:is>
      </x:c>
      <x:c r="G14" s="21" t="inlineStr">
        <x:is>
          <x:t xml:space="preserve">Print primitive</x:t>
        </x:is>
      </x:c>
      <x:c r="H14" s="21" t="inlineStr">
        <x:is>
          <x:t xml:space="preserve">Raw</x:t>
        </x:is>
      </x:c>
    </x:row>
    <x:row r="15">
      <x:c r="A15" s="20" t="inlineStr">
        <x:is>
          <x:t xml:space="preserve">Row quote field</x:t>
        </x:is>
      </x:c>
      <x:c r="B15" s="20" t="inlineStr">
        <x:is>
          <x:t xml:space="preserve">OCS12</x:t>
        </x:is>
      </x:c>
      <x:c r="C15" s="21" t="inlineStr">
        <x:is>
          <x:t xml:space="preserve">IV</x:t>
        </x:is>
      </x:c>
      <x:c r="D15" s="21" t="inlineStr">
        <x:is>
          <x:t xml:space="preserve">percent</x:t>
        </x:is>
      </x:c>
      <x:c r="E15" s="21" t="inlineStr">
        <x:is>
          <x:t xml:space="preserve">Vendor-supplied IV</x:t>
        </x:is>
      </x:c>
      <x:c r="F15" s="21" t="inlineStr">
        <x:is>
          <x:t xml:space="preserve">Every captured row when vendor supplies it</x:t>
        </x:is>
      </x:c>
      <x:c r="G15" s="21" t="inlineStr">
        <x:is>
          <x:t xml:space="preserve">Supports richer derived options state</x:t>
        </x:is>
      </x:c>
      <x:c r="H15" s="21" t="inlineStr">
        <x:is>
          <x:t xml:space="preserve">Raw only if vendor-supplied</x:t>
        </x:is>
      </x:c>
    </x:row>
    <x:row r="16">
      <x:c r="A16" s="20" t="inlineStr">
        <x:is>
          <x:t xml:space="preserve">Row quote field</x:t>
        </x:is>
      </x:c>
      <x:c r="B16" s="20" t="inlineStr">
        <x:is>
          <x:t xml:space="preserve">OCS13</x:t>
        </x:is>
      </x:c>
      <x:c r="C16" s="21" t="inlineStr">
        <x:is>
          <x:t xml:space="preserve">Delta</x:t>
        </x:is>
      </x:c>
      <x:c r="D16" s="21" t="inlineStr">
        <x:is>
          <x:t xml:space="preserve">decimal</x:t>
        </x:is>
      </x:c>
      <x:c r="E16" s="21" t="inlineStr">
        <x:is>
          <x:t xml:space="preserve">Vendor-supplied delta</x:t>
        </x:is>
      </x:c>
      <x:c r="F16" s="21" t="inlineStr">
        <x:is>
          <x:t xml:space="preserve">Every captured row when vendor supplies it</x:t>
        </x:is>
      </x:c>
      <x:c r="G16" s="21" t="inlineStr">
        <x:is>
          <x:t xml:space="preserve">Supports richer derived dealer state</x:t>
        </x:is>
      </x:c>
      <x:c r="H16" s="21" t="inlineStr">
        <x:is>
          <x:t xml:space="preserve">Raw only if vendor-supplied</x:t>
        </x:is>
      </x:c>
    </x:row>
    <x:row r="17">
      <x:c r="A17" s="20" t="inlineStr">
        <x:is>
          <x:t xml:space="preserve">Row quote field</x:t>
        </x:is>
      </x:c>
      <x:c r="B17" s="20" t="inlineStr">
        <x:is>
          <x:t xml:space="preserve">OCS14</x:t>
        </x:is>
      </x:c>
      <x:c r="C17" s="21" t="inlineStr">
        <x:is>
          <x:t xml:space="preserve">Gamma</x:t>
        </x:is>
      </x:c>
      <x:c r="D17" s="21" t="inlineStr">
        <x:is>
          <x:t xml:space="preserve">decimal</x:t>
        </x:is>
      </x:c>
      <x:c r="E17" s="21" t="inlineStr">
        <x:is>
          <x:t xml:space="preserve">Vendor-supplied gamma</x:t>
        </x:is>
      </x:c>
      <x:c r="F17" s="21" t="inlineStr">
        <x:is>
          <x:t xml:space="preserve">Every captured row when vendor supplies it</x:t>
        </x:is>
      </x:c>
      <x:c r="G17" s="21" t="inlineStr">
        <x:is>
          <x:t xml:space="preserve">Supports richer derived dealer state</x:t>
        </x:is>
      </x:c>
      <x:c r="H17" s="21" t="inlineStr">
        <x:is>
          <x:t xml:space="preserve">Raw only if vendor-supplied</x:t>
        </x:is>
      </x:c>
    </x:row>
    <x:row r="18">
      <x:c r="A18" s="20" t="inlineStr">
        <x:is>
          <x:t xml:space="preserve">Row participation field</x:t>
        </x:is>
      </x:c>
      <x:c r="B18" s="20" t="inlineStr">
        <x:is>
          <x:t xml:space="preserve">OCS15</x:t>
        </x:is>
      </x:c>
      <x:c r="C18" s="21" t="inlineStr">
        <x:is>
          <x:t xml:space="preserve">Volume</x:t>
        </x:is>
      </x:c>
      <x:c r="D18" s="21" t="inlineStr">
        <x:is>
          <x:t xml:space="preserve">contracts</x:t>
        </x:is>
      </x:c>
      <x:c r="E18" s="21" t="inlineStr">
        <x:is>
          <x:t xml:space="preserve">Vendor participation field</x:t>
        </x:is>
      </x:c>
      <x:c r="F18" s="21" t="inlineStr">
        <x:is>
          <x:t xml:space="preserve">Every captured row when vendor supplies it</x:t>
        </x:is>
      </x:c>
      <x:c r="G18" s="21" t="inlineStr">
        <x:is>
          <x:t xml:space="preserve">Supports flow and activity analysis</x:t>
        </x:is>
      </x:c>
      <x:c r="H18" s="21" t="inlineStr">
        <x:is>
          <x:t xml:space="preserve">Raw only if vendor-supplied</x:t>
        </x:is>
      </x:c>
    </x:row>
    <x:row r="19">
      <x:c r="A19" s="20" t="inlineStr">
        <x:is>
          <x:t xml:space="preserve">Row participation field</x:t>
        </x:is>
      </x:c>
      <x:c r="B19" s="20" t="inlineStr">
        <x:is>
          <x:t xml:space="preserve">OCS16</x:t>
        </x:is>
      </x:c>
      <x:c r="C19" s="21" t="inlineStr">
        <x:is>
          <x:t xml:space="preserve">Open interest</x:t>
        </x:is>
      </x:c>
      <x:c r="D19" s="21" t="inlineStr">
        <x:is>
          <x:t xml:space="preserve">contracts</x:t>
        </x:is>
      </x:c>
      <x:c r="E19" s="21" t="inlineStr">
        <x:is>
          <x:t xml:space="preserve">Vendor crowding field</x:t>
        </x:is>
      </x:c>
      <x:c r="F19" s="21" t="inlineStr">
        <x:is>
          <x:t xml:space="preserve">Every captured row when vendor supplies it</x:t>
        </x:is>
      </x:c>
      <x:c r="G19" s="21" t="inlineStr">
        <x:is>
          <x:t xml:space="preserve">Supports pin and concentration analysis</x:t>
        </x:is>
      </x:c>
      <x:c r="H19" s="21" t="inlineStr">
        <x:is>
          <x:t xml:space="preserve">Raw only if vendor-supplied</x:t>
        </x:is>
      </x:c>
    </x:row>
    <x:row r="20">
      <x:c r="A20" s="20" t="inlineStr">
        <x:is>
          <x:t xml:space="preserve">Broker-specific field</x:t>
        </x:is>
      </x:c>
      <x:c r="B20" s="20" t="inlineStr">
        <x:is>
          <x:t xml:space="preserve">OCS17</x:t>
        </x:is>
      </x:c>
      <x:c r="C20" s="21" t="inlineStr">
        <x:is>
          <x:t xml:space="preserve">Broker row metric A</x:t>
        </x:is>
      </x:c>
      <x:c r="D20" s="21" t="inlineStr">
        <x:is>
          <x:t xml:space="preserve">vendor-specific</x:t>
        </x:is>
      </x:c>
      <x:c r="E20" s="21" t="inlineStr">
        <x:is>
          <x:t xml:space="preserve">Unlabelled per-row broker field</x:t>
        </x:is>
      </x:c>
      <x:c r="F20" s="21" t="inlineStr">
        <x:is>
          <x:t xml:space="preserve">Preserve until labelled</x:t>
        </x:is>
      </x:c>
      <x:c r="G20" s="21" t="inlineStr">
        <x:is>
          <x:t xml:space="preserve">May become useful later; do not hallucinate meaning</x:t>
        </x:is>
      </x:c>
      <x:c r="H20" s="21" t="inlineStr">
        <x:is>
          <x:t xml:space="preserve">From user screenshot; label not yet confirmed</x:t>
        </x:is>
      </x:c>
    </x:row>
    <x:row r="21">
      <x:c r="A21" s="20" t="inlineStr">
        <x:is>
          <x:t xml:space="preserve">Broker-specific field</x:t>
        </x:is>
      </x:c>
      <x:c r="B21" s="20" t="inlineStr">
        <x:is>
          <x:t xml:space="preserve">OCS18</x:t>
        </x:is>
      </x:c>
      <x:c r="C21" s="21" t="inlineStr">
        <x:is>
          <x:t xml:space="preserve">Broker row metric B</x:t>
        </x:is>
      </x:c>
      <x:c r="D21" s="21" t="inlineStr">
        <x:is>
          <x:t xml:space="preserve">vendor-specific</x:t>
        </x:is>
      </x:c>
      <x:c r="E21" s="21" t="inlineStr">
        <x:is>
          <x:t xml:space="preserve">Unlabelled per-row broker field</x:t>
        </x:is>
      </x:c>
      <x:c r="F21" s="21" t="inlineStr">
        <x:is>
          <x:t xml:space="preserve">Preserve until labelled</x:t>
        </x:is>
      </x:c>
      <x:c r="G21" s="21" t="inlineStr">
        <x:is>
          <x:t xml:space="preserve">May become useful later; do not hallucinate meaning</x:t>
        </x:is>
      </x:c>
      <x:c r="H21" s="21" t="inlineStr">
        <x:is>
          <x:t xml:space="preserve">From user screenshot; label not yet confirmed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Volume Baseline Raw Spec</x:t>
        </x:is>
      </x:c>
    </x:row>
    <x:row r="2">
      <x:c r="A2" t="inlineStr">
        <x:is>
          <x:t xml:space="preserve">Historical same-bucket baselines needed so participation logic is not a toy recent-average proxy.</x:t>
        </x:is>
      </x:c>
    </x:row>
    <x:row r="3">
      <x:c r="A3" s="15" t="inlineStr">
        <x:is>
          <x:t xml:space="preserve">Family</x:t>
        </x:is>
      </x:c>
      <x:c r="B3" s="15" t="inlineStr">
        <x:is>
          <x:t xml:space="preserve">Field_ID</x:t>
        </x:is>
      </x:c>
      <x:c r="C3" s="15" t="inlineStr">
        <x:is>
          <x:t xml:space="preserve">Field_Name</x:t>
        </x:is>
      </x:c>
      <x:c r="D3" s="15" t="inlineStr">
        <x:is>
          <x:t xml:space="preserve">Unit</x:t>
        </x:is>
      </x:c>
      <x:c r="E3" s="15" t="inlineStr">
        <x:is>
          <x:t xml:space="preserve">Purpose</x:t>
        </x:is>
      </x:c>
      <x:c r="F3" s="15" t="inlineStr">
        <x:is>
          <x:t xml:space="preserve">Source / Build</x:t>
        </x:is>
      </x:c>
      <x:c r="G3" s="15" t="inlineStr">
        <x:is>
          <x:t xml:space="preserve">Why It Matters</x:t>
        </x:is>
      </x:c>
      <x:c r="H3" s="15" t="inlineStr">
        <x:is>
          <x:t xml:space="preserve">Notes</x:t>
        </x:is>
      </x:c>
    </x:row>
    <x:row r="4">
      <x:c r="A4" s="20" t="inlineStr">
        <x:is>
          <x:t xml:space="preserve">Historical baseline raw</x:t>
        </x:is>
      </x:c>
      <x:c r="B4" s="20" t="inlineStr">
        <x:is>
          <x:t xml:space="preserve">VB01</x:t>
        </x:is>
      </x:c>
      <x:c r="C4" s="21" t="inlineStr">
        <x:is>
          <x:t xml:space="preserve">Same-bucket median volume</x:t>
        </x:is>
      </x:c>
      <x:c r="D4" s="21" t="inlineStr">
        <x:is>
          <x:t xml:space="preserve">shares / bucket</x:t>
        </x:is>
      </x:c>
      <x:c r="E4" s="21" t="inlineStr">
        <x:is>
          <x:t xml:space="preserve">True intraday participation baseline</x:t>
        </x:is>
      </x:c>
      <x:c r="F4" s="21" t="inlineStr">
        <x:is>
          <x:t xml:space="preserve">offline historical bar store</x:t>
        </x:is>
      </x:c>
      <x:c r="G4" s="21" t="inlineStr">
        <x:is>
          <x:t xml:space="preserve">Needed for real relative volume by time of day</x:t>
        </x:is>
      </x:c>
      <x:c r="H4" s="21" t="inlineStr">
        <x:is>
          <x:t xml:space="preserve">Use same session bucket across prior N sessions</x:t>
        </x:is>
      </x:c>
    </x:row>
    <x:row r="5">
      <x:c r="A5" s="20" t="inlineStr">
        <x:is>
          <x:t xml:space="preserve">Historical baseline raw</x:t>
        </x:is>
      </x:c>
      <x:c r="B5" s="20" t="inlineStr">
        <x:is>
          <x:t xml:space="preserve">VB02</x:t>
        </x:is>
      </x:c>
      <x:c r="C5" s="21" t="inlineStr">
        <x:is>
          <x:t xml:space="preserve">Same-bucket mean volume</x:t>
        </x:is>
      </x:c>
      <x:c r="D5" s="21" t="inlineStr">
        <x:is>
          <x:t xml:space="preserve">shares / bucket</x:t>
        </x:is>
      </x:c>
      <x:c r="E5" s="21" t="inlineStr">
        <x:is>
          <x:t xml:space="preserve">Alternative participation baseline</x:t>
        </x:is>
      </x:c>
      <x:c r="F5" s="21" t="inlineStr">
        <x:is>
          <x:t xml:space="preserve">offline historical bar store</x:t>
        </x:is>
      </x:c>
      <x:c r="G5" s="21" t="inlineStr">
        <x:is>
          <x:t xml:space="preserve">Useful for averages and sanity checks</x:t>
        </x:is>
      </x:c>
      <x:c r="H5" s="21" t="inlineStr">
        <x:is>
          <x:t xml:space="preserve">Store alongside median</x:t>
        </x:is>
      </x:c>
    </x:row>
    <x:row r="6">
      <x:c r="A6" s="20" t="inlineStr">
        <x:is>
          <x:t xml:space="preserve">Historical baseline raw</x:t>
        </x:is>
      </x:c>
      <x:c r="B6" s="20" t="inlineStr">
        <x:is>
          <x:t xml:space="preserve">VB03</x:t>
        </x:is>
      </x:c>
      <x:c r="C6" s="21" t="inlineStr">
        <x:is>
          <x:t xml:space="preserve">Same-bucket volume stdev</x:t>
        </x:is>
      </x:c>
      <x:c r="D6" s="21" t="inlineStr">
        <x:is>
          <x:t xml:space="preserve">shares / bucket</x:t>
        </x:is>
      </x:c>
      <x:c r="E6" s="21" t="inlineStr">
        <x:is>
          <x:t xml:space="preserve">Dispersion baseline</x:t>
        </x:is>
      </x:c>
      <x:c r="F6" s="21" t="inlineStr">
        <x:is>
          <x:t xml:space="preserve">offline historical bar store</x:t>
        </x:is>
      </x:c>
      <x:c r="G6" s="21" t="inlineStr">
        <x:is>
          <x:t xml:space="preserve">Enables z-score anomaly logic</x:t>
        </x:is>
      </x:c>
      <x:c r="H6" s="21" t="inlineStr">
        <x:is>
          <x:t xml:space="preserve">Offline build</x:t>
        </x:is>
      </x:c>
    </x:row>
    <x:row r="7">
      <x:c r="A7" s="20" t="inlineStr">
        <x:is>
          <x:t xml:space="preserve">Historical baseline raw</x:t>
        </x:is>
      </x:c>
      <x:c r="B7" s="20" t="inlineStr">
        <x:is>
          <x:t xml:space="preserve">VB04</x:t>
        </x:is>
      </x:c>
      <x:c r="C7" s="21" t="inlineStr">
        <x:is>
          <x:t xml:space="preserve">Same-bucket median trade count</x:t>
        </x:is>
      </x:c>
      <x:c r="D7" s="21" t="inlineStr">
        <x:is>
          <x:t xml:space="preserve">count / bucket</x:t>
        </x:is>
      </x:c>
      <x:c r="E7" s="21" t="inlineStr">
        <x:is>
          <x:t xml:space="preserve">Activity quality baseline</x:t>
        </x:is>
      </x:c>
      <x:c r="F7" s="21" t="inlineStr">
        <x:is>
          <x:t xml:space="preserve">offline historical trade store</x:t>
        </x:is>
      </x:c>
      <x:c r="G7" s="21" t="inlineStr">
        <x:is>
          <x:t xml:space="preserve">Distinguishes high volume from many small prints</x:t>
        </x:is>
      </x:c>
      <x:c r="H7" s="21" t="inlineStr">
        <x:is>
          <x:t xml:space="preserve">Offline build</x:t>
        </x:is>
      </x:c>
    </x:row>
    <x:row r="8">
      <x:c r="A8" s="20" t="inlineStr">
        <x:is>
          <x:t xml:space="preserve">Historical baseline raw</x:t>
        </x:is>
      </x:c>
      <x:c r="B8" s="20" t="inlineStr">
        <x:is>
          <x:t xml:space="preserve">VB05</x:t>
        </x:is>
      </x:c>
      <x:c r="C8" s="21" t="inlineStr">
        <x:is>
          <x:t xml:space="preserve">Same-bucket median spread</x:t>
        </x:is>
      </x:c>
      <x:c r="D8" s="21" t="inlineStr">
        <x:is>
          <x:t xml:space="preserve">bps</x:t>
        </x:is>
      </x:c>
      <x:c r="E8" s="21" t="inlineStr">
        <x:is>
          <x:t xml:space="preserve">Liquidity-cost baseline</x:t>
        </x:is>
      </x:c>
      <x:c r="F8" s="21" t="inlineStr">
        <x:is>
          <x:t xml:space="preserve">offline historical quote store</x:t>
        </x:is>
      </x:c>
      <x:c r="G8" s="21" t="inlineStr">
        <x:is>
          <x:t xml:space="preserve">Needed for spread stress context</x:t>
        </x:is>
      </x:c>
      <x:c r="H8" s="21" t="inlineStr">
        <x:is>
          <x:t xml:space="preserve">Offline build</x:t>
        </x:is>
      </x:c>
    </x:row>
    <x:row r="9">
      <x:c r="A9" s="20" t="inlineStr">
        <x:is>
          <x:t xml:space="preserve">Historical baseline raw</x:t>
        </x:is>
      </x:c>
      <x:c r="B9" s="20" t="inlineStr">
        <x:is>
          <x:t xml:space="preserve">VB06</x:t>
        </x:is>
      </x:c>
      <x:c r="C9" s="21" t="inlineStr">
        <x:is>
          <x:t xml:space="preserve">Same-bucket spread stdev</x:t>
        </x:is>
      </x:c>
      <x:c r="D9" s="21" t="inlineStr">
        <x:is>
          <x:t xml:space="preserve">bps</x:t>
        </x:is>
      </x:c>
      <x:c r="E9" s="21" t="inlineStr">
        <x:is>
          <x:t xml:space="preserve">Liquidity dispersion baseline</x:t>
        </x:is>
      </x:c>
      <x:c r="F9" s="21" t="inlineStr">
        <x:is>
          <x:t xml:space="preserve">offline historical quote store</x:t>
        </x:is>
      </x:c>
      <x:c r="G9" s="21" t="inlineStr">
        <x:is>
          <x:t xml:space="preserve">Supports spread anomaly logic</x:t>
        </x:is>
      </x:c>
      <x:c r="H9" s="21" t="inlineStr">
        <x:is>
          <x:t xml:space="preserve">Offline build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24" customWidth="1"/>
    <x:col min="4" max="4" width="14" customWidth="1"/>
    <x:col min="5" max="5" width="20" customWidth="1"/>
    <x:col min="6" max="6" width="18" customWidth="1"/>
    <x:col min="7" max="7" width="28" customWidth="1"/>
    <x:col min="8" max="8" width="28" customWidth="1"/>
  </x:cols>
  <x:sheetData>
    <x:row r="1">
      <x:c r="A1" s="1" t="inlineStr">
        <x:is>
          <x:t xml:space="preserve">Playbook Module Audit</x:t>
        </x:is>
      </x:c>
    </x:row>
    <x:row r="2">
      <x:c r="A2" t="inlineStr">
        <x:is>
          <x:t xml:space="preserve">Current branch audit of which playbooks stay, which need richer options evidence, and which new options-first families were added now.</x:t>
        </x:is>
      </x:c>
    </x:row>
    <x:row r="3">
      <x:c r="A3" s="15" t="inlineStr">
        <x:is>
          <x:t xml:space="preserve">Playbook_ID</x:t>
        </x:is>
      </x:c>
      <x:c r="B3" s="15" t="inlineStr">
        <x:is>
          <x:t xml:space="preserve">Current Status</x:t>
        </x:is>
      </x:c>
      <x:c r="C3" s="15" t="inlineStr">
        <x:is>
          <x:t xml:space="preserve">Action Now</x:t>
        </x:is>
      </x:c>
      <x:c r="D3" s="15" t="inlineStr">
        <x:is>
          <x:t xml:space="preserve">Primary Data Families</x:t>
        </x:is>
      </x:c>
      <x:c r="E3" s="15" t="inlineStr">
        <x:is>
          <x:t xml:space="preserve">Needs Rewrite?</x:t>
        </x:is>
      </x:c>
      <x:c r="F3" s="15" t="inlineStr">
        <x:is>
          <x:t xml:space="preserve">Current Verdict</x:t>
        </x:is>
      </x:c>
      <x:c r="G3" s="15" t="inlineStr">
        <x:is>
          <x:t xml:space="preserve">Notes</x:t>
        </x:is>
      </x:c>
      <x:c r="H3" s="15" t="inlineStr">
        <x:is>
          <x:t xml:space="preserve">Priority</x:t>
        </x:is>
      </x:c>
    </x:row>
    <x:row r="4">
      <x:c r="A4" s="20" t="inlineStr">
        <x:is>
          <x:t xml:space="preserve">continuation_ladder</x:t>
        </x:is>
      </x:c>
      <x:c r="B4" s="20" t="inlineStr">
        <x:is>
          <x:t xml:space="preserve">existing</x:t>
        </x:is>
      </x:c>
      <x:c r="C4" s="21" t="inlineStr">
        <x:is>
          <x:t xml:space="preserve">keep</x:t>
        </x:is>
      </x:c>
      <x:c r="D4" s="21" t="inlineStr">
        <x:is>
          <x:t xml:space="preserve">temporal + regime + posture + basic options veto</x:t>
        </x:is>
      </x:c>
      <x:c r="E4" s="21" t="inlineStr">
        <x:is>
          <x:t xml:space="preserve">No</x:t>
        </x:is>
      </x:c>
      <x:c r="F4" s="21" t="inlineStr">
        <x:is>
          <x:t xml:space="preserve">leave in place</x:t>
        </x:is>
      </x:c>
      <x:c r="G4" s="21" t="inlineStr">
        <x:is>
          <x:t xml:space="preserve">Trend ladder remains valid; richer options stay a confirmer/veto layer rather than the main engine</x:t>
        </x:is>
      </x:c>
      <x:c r="H4" s="21" t="inlineStr">
        <x:is>
          <x:t xml:space="preserve">P2</x:t>
        </x:is>
      </x:c>
    </x:row>
    <x:row r="5">
      <x:c r="A5" s="20" t="inlineStr">
        <x:is>
          <x:t xml:space="preserve">compression_breakout</x:t>
        </x:is>
      </x:c>
      <x:c r="B5" s="20" t="inlineStr">
        <x:is>
          <x:t xml:space="preserve">existing</x:t>
        </x:is>
      </x:c>
      <x:c r="C5" s="21" t="inlineStr">
        <x:is>
          <x:t xml:space="preserve">update inputs</x:t>
        </x:is>
      </x:c>
      <x:c r="D5" s="21" t="inlineStr">
        <x:is>
          <x:t xml:space="preserve">temporal + quote-liquidity + volume baseline + supportive options</x:t>
        </x:is>
      </x:c>
      <x:c r="E5" s="21" t="inlineStr">
        <x:is>
          <x:t xml:space="preserve">Partial input upgrade only</x:t>
        </x:is>
      </x:c>
      <x:c r="F5" s="21" t="inlineStr">
        <x:is>
          <x:t xml:space="preserve">leave in place with richer inputs later</x:t>
        </x:is>
      </x:c>
      <x:c r="G5" s="21" t="inlineStr">
        <x:is>
          <x:t xml:space="preserve">Needs true historical same-bucket volume/spread baseline to reduce false breakouts</x:t>
        </x:is>
      </x:c>
      <x:c r="H5" s="21" t="inlineStr">
        <x:is>
          <x:t xml:space="preserve">P1</x:t>
        </x:is>
      </x:c>
    </x:row>
    <x:row r="6">
      <x:c r="A6" s="20" t="inlineStr">
        <x:is>
          <x:t xml:space="preserve">pin_reversion</x:t>
        </x:is>
      </x:c>
      <x:c r="B6" s="20" t="inlineStr">
        <x:is>
          <x:t xml:space="preserve">existing</x:t>
        </x:is>
      </x:c>
      <x:c r="C6" s="21" t="inlineStr">
        <x:is>
          <x:t xml:space="preserve">update inputs</x:t>
        </x:is>
      </x:c>
      <x:c r="D6" s="21" t="inlineStr">
        <x:is>
          <x:t xml:space="preserve">front-expiry raw chain + strike clustering + pin progression</x:t>
        </x:is>
      </x:c>
      <x:c r="E6" s="21" t="inlineStr">
        <x:is>
          <x:t xml:space="preserve">Partial input upgrade only</x:t>
        </x:is>
      </x:c>
      <x:c r="F6" s="21" t="inlineStr">
        <x:is>
          <x:t xml:space="preserve">leave in place with richer chain evidence</x:t>
        </x:is>
      </x:c>
      <x:c r="G6" s="21" t="inlineStr">
        <x:is>
          <x:t xml:space="preserve">Concept remains correct; raw chain preservation improves pin-confidence and magnet logic</x:t>
        </x:is>
      </x:c>
      <x:c r="H6" s="21" t="inlineStr">
        <x:is>
          <x:t xml:space="preserve">P1</x:t>
        </x:is>
      </x:c>
    </x:row>
    <x:row r="7">
      <x:c r="A7" s="20" t="inlineStr">
        <x:is>
          <x:t xml:space="preserve">negative_gamma_flush</x:t>
        </x:is>
      </x:c>
      <x:c r="B7" s="20" t="inlineStr">
        <x:is>
          <x:t xml:space="preserve">existing</x:t>
        </x:is>
      </x:c>
      <x:c r="C7" s="21" t="inlineStr">
        <x:is>
          <x:t xml:space="preserve">keep</x:t>
        </x:is>
      </x:c>
      <x:c r="D7" s="21" t="inlineStr">
        <x:is>
          <x:t xml:space="preserve">options flow + regime stress + repeated snapshots</x:t>
        </x:is>
      </x:c>
      <x:c r="E7" s="21" t="inlineStr">
        <x:is>
          <x:t xml:space="preserve">No</x:t>
        </x:is>
      </x:c>
      <x:c r="F7" s="21" t="inlineStr">
        <x:is>
          <x:t xml:space="preserve">leave in place</x:t>
        </x:is>
      </x:c>
      <x:c r="G7" s="21" t="inlineStr">
        <x:is>
          <x:t xml:space="preserve">Already options-aware; benefits from richer raw chain but does not need a rewrite now</x:t>
        </x:is>
      </x:c>
      <x:c r="H7" s="21" t="inlineStr">
        <x:is>
          <x:t xml:space="preserve">P2</x:t>
        </x:is>
      </x:c>
    </x:row>
    <x:row r="8">
      <x:c r="A8" s="20" t="inlineStr">
        <x:is>
          <x:t xml:space="preserve">front_expiry_pin_pressure</x:t>
        </x:is>
      </x:c>
      <x:c r="B8" s="20" t="inlineStr">
        <x:is>
          <x:t xml:space="preserve">new on branch</x:t>
        </x:is>
      </x:c>
      <x:c r="C8" s="21" t="inlineStr">
        <x:is>
          <x:t xml:space="preserve">added now</x:t>
        </x:is>
      </x:c>
      <x:c r="D8" s="21" t="inlineStr">
        <x:is>
          <x:t xml:space="preserve">dense front-expiry raw chain + pin progression + spread sanity</x:t>
        </x:is>
      </x:c>
      <x:c r="E8" s="21" t="inlineStr">
        <x:is>
          <x:t xml:space="preserve">New playbook added</x:t>
        </x:is>
      </x:c>
      <x:c r="F8" s="21" t="inlineStr">
        <x:is>
          <x:t xml:space="preserve">keep</x:t>
        </x:is>
      </x:c>
      <x:c r="G8" s="21" t="inlineStr">
        <x:is>
          <x:t xml:space="preserve">Options-first family specifically for front-expiry pin build/stability/release</x:t>
        </x:is>
      </x:c>
      <x:c r="H8" s="21" t="inlineStr">
        <x:is>
          <x:t xml:space="preserve">P1</x:t>
        </x:is>
      </x:c>
    </x:row>
    <x:row r="9">
      <x:c r="A9" s="20" t="inlineStr">
        <x:is>
          <x:t xml:space="preserve">term_structure_dislocation</x:t>
        </x:is>
      </x:c>
      <x:c r="B9" s="20" t="inlineStr">
        <x:is>
          <x:t xml:space="preserve">new on branch</x:t>
        </x:is>
      </x:c>
      <x:c r="C9" s="21" t="inlineStr">
        <x:is>
          <x:t xml:space="preserve">added now</x:t>
        </x:is>
      </x:c>
      <x:c r="D9" s="21" t="inlineStr">
        <x:is>
          <x:t xml:space="preserve">raw chain across front and next expiry</x:t>
        </x:is>
      </x:c>
      <x:c r="E9" s="21" t="inlineStr">
        <x:is>
          <x:t xml:space="preserve">New playbook added</x:t>
        </x:is>
      </x:c>
      <x:c r="F9" s="21" t="inlineStr">
        <x:is>
          <x:t xml:space="preserve">keep</x:t>
        </x:is>
      </x:c>
      <x:c r="G9" s="21" t="inlineStr">
        <x:is>
          <x:t xml:space="preserve">Options-first family for front-loaded or back-loaded dislocation</x:t>
        </x:is>
      </x:c>
      <x:c r="H9" s="21" t="inlineStr">
        <x:is>
          <x:t xml:space="preserve">P1</x:t>
        </x:is>
      </x:c>
    </x:row>
    <x:row r="10">
      <x:c r="A10" s="20" t="inlineStr">
        <x:is>
          <x:t xml:space="preserve">skew_pressure_transition</x:t>
        </x:is>
      </x:c>
      <x:c r="B10" s="20" t="inlineStr">
        <x:is>
          <x:t xml:space="preserve">new on branch</x:t>
        </x:is>
      </x:c>
      <x:c r="C10" s="21" t="inlineStr">
        <x:is>
          <x:t xml:space="preserve">added now</x:t>
        </x:is>
      </x:c>
      <x:c r="D10" s="21" t="inlineStr">
        <x:is>
          <x:t xml:space="preserve">raw chain skew + call/put participation split</x:t>
        </x:is>
      </x:c>
      <x:c r="E10" s="21" t="inlineStr">
        <x:is>
          <x:t xml:space="preserve">New playbook added</x:t>
        </x:is>
      </x:c>
      <x:c r="F10" s="21" t="inlineStr">
        <x:is>
          <x:t xml:space="preserve">keep</x:t>
        </x:is>
      </x:c>
      <x:c r="G10" s="21" t="inlineStr">
        <x:is>
          <x:t xml:space="preserve">Options-first family for downside-hedging or upside-chase pressure transitions</x:t>
        </x:is>
      </x:c>
      <x:c r="H10" s="21" t="inlineStr">
        <x:is>
          <x:t xml:space="preserve">P1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68" customWidth="1"/>
    <x:col min="4" max="4" width="62" customWidth="1"/>
  </x:cols>
  <x:sheetData>
    <x:row r="1">
      <x:c r="A1" s="70" t="inlineStr">
        <x:is>
          <x:t xml:space="preserve">Gate 41-44 execution summary</x:t>
        </x:is>
      </x:c>
      <x:c r="B1" s="21" t="n"/>
      <x:c r="C1" s="21" t="n"/>
      <x:c r="D1" s="21" t="n"/>
    </x:row>
    <x:row r="2">
      <x:c r="A2" s="21" t="n"/>
      <x:c r="B2" s="21" t="n"/>
      <x:c r="C2" s="21" t="n"/>
      <x:c r="D2" s="21" t="n"/>
    </x:row>
    <x:row r="3">
      <x:c r="A3" s="71" t="inlineStr">
        <x:is>
          <x:t xml:space="preserve">Gate</x:t>
        </x:is>
      </x:c>
      <x:c r="B3" s="71" t="inlineStr">
        <x:is>
          <x:t xml:space="preserve">Status</x:t>
        </x:is>
      </x:c>
      <x:c r="C3" s="71" t="inlineStr">
        <x:is>
          <x:t xml:space="preserve">Closed scope</x:t>
        </x:is>
      </x:c>
      <x:c r="D3" s="71" t="inlineStr">
        <x:is>
          <x:t xml:space="preserve">Primary artefacts</x:t>
        </x:is>
      </x:c>
    </x:row>
    <x:row r="4">
      <x:c r="A4" s="21" t="inlineStr">
        <x:is>
          <x:t xml:space="preserve">Gate 41</x:t>
        </x:is>
      </x:c>
      <x:c r="B4" s="21" t="inlineStr">
        <x:is>
          <x:t xml:space="preserve">Complete</x:t>
        </x:is>
      </x:c>
      <x:c r="C4" s="21" t="inlineStr">
        <x:is>
          <x:t xml:space="preserve">Split raw primitives from derived features and froze workbook authority.</x:t>
        </x:is>
      </x:c>
      <x:c r="D4" s="21" t="inlineStr">
        <x:is>
          <x:t xml:space="preserve">Raw_Primitives_Catalog; Derived_Features_Catalog; Playbook_Module_Audit</x:t>
        </x:is>
      </x:c>
    </x:row>
    <x:row r="5">
      <x:c r="A5" s="21" t="inlineStr">
        <x:is>
          <x:t xml:space="preserve">Gate 42</x:t>
        </x:is>
      </x:c>
      <x:c r="B5" s="21" t="inlineStr">
        <x:is>
          <x:t xml:space="preserve">Complete</x:t>
        </x:is>
      </x:c>
      <x:c r="C5" s="21" t="inlineStr">
        <x:is>
          <x:t xml:space="preserve">Defined dense front-expiry options capture and same-bucket volume baseline policy.</x:t>
        </x:is>
      </x:c>
      <x:c r="D5" s="21" t="inlineStr">
        <x:is>
          <x:t xml:space="preserve">Options_Chain_Raw_Spec; Volume_Baseline_Raw_Spec</x:t>
        </x:is>
      </x:c>
    </x:row>
    <x:row r="6">
      <x:c r="A6" s="21" t="inlineStr">
        <x:is>
          <x:t xml:space="preserve">Gate 43</x:t>
        </x:is>
      </x:c>
      <x:c r="B6" s="21" t="inlineStr">
        <x:is>
          <x:t xml:space="preserve">Complete</x:t>
        </x:is>
      </x:c>
      <x:c r="C6" s="21" t="inlineStr">
        <x:is>
          <x:t xml:space="preserve">Added three options-first playbooks: front_expiry_pin_pressure, term_structure_dislocation, skew_pressure_reversal.</x:t>
        </x:is>
      </x:c>
      <x:c r="D6" s="21" t="inlineStr">
        <x:is>
          <x:t xml:space="preserve">config/playbook_registry.example.yaml; tests/test_gate43_options_playbook_expansion.py</x:t>
        </x:is>
      </x:c>
    </x:row>
    <x:row r="7">
      <x:c r="A7" s="21" t="inlineStr">
        <x:is>
          <x:t xml:space="preserve">Gate 44</x:t>
        </x:is>
      </x:c>
      <x:c r="B7" s="21" t="inlineStr">
        <x:is>
          <x:t xml:space="preserve">Complete</x:t>
        </x:is>
      </x:c>
      <x:c r="C7" s="21" t="inlineStr">
        <x:is>
          <x:t xml:space="preserve">Confirmed DMP payload stability and recorded playbook-family audit.</x:t>
        </x:is>
      </x:c>
      <x:c r="D7" s="21" t="inlineStr">
        <x:is>
          <x:t xml:space="preserve">tests/test_dmp_protocol.py; tests/test_dmp_v2_protocol.py; Playbook_Module_Audit</x:t>
        </x:is>
      </x:c>
    </x:row>
    <x:row r="8">
      <x:c r="A8" s="21" t="n"/>
      <x:c r="B8" s="21" t="n"/>
      <x:c r="C8" s="21" t="n"/>
      <x:c r="D8" s="21" t="n"/>
    </x:row>
    <x:row r="9">
      <x:c r="A9" s="21" t="n"/>
      <x:c r="B9" s="21" t="n"/>
      <x:c r="C9" s="21" t="n"/>
      <x:c r="D9" s="21" t="n"/>
    </x:row>
    <x:row r="10">
      <x:c r="A10" s="72" t="inlineStr">
        <x:is>
          <x:t xml:space="preserve">Playbook family verdicts</x:t>
        </x:is>
      </x:c>
      <x:c r="B10" s="21" t="n"/>
      <x:c r="C10" s="21" t="n"/>
      <x:c r="D10" s="21" t="n"/>
    </x:row>
    <x:row r="11">
      <x:c r="A11" s="21" t="inlineStr">
        <x:is>
          <x:t xml:space="preserve">Keep as-is</x:t>
        </x:is>
      </x:c>
      <x:c r="B11" s="21" t="inlineStr">
        <x:is>
          <x:t xml:space="preserve">continuation_ladder; negative_gamma_flush</x:t>
        </x:is>
      </x:c>
      <x:c r="C11" s="21" t="n"/>
      <x:c r="D11" s="21" t="n"/>
    </x:row>
    <x:row r="12">
      <x:c r="A12" s="21" t="inlineStr">
        <x:is>
          <x:t xml:space="preserve">Keep, richer inputs later</x:t>
        </x:is>
      </x:c>
      <x:c r="B12" s="21" t="inlineStr">
        <x:is>
          <x:t xml:space="preserve">compression_breakout; pin_reversion</x:t>
        </x:is>
      </x:c>
      <x:c r="C12" s="21" t="n"/>
      <x:c r="D12" s="21" t="n"/>
    </x:row>
    <x:row r="13">
      <x:c r="A13" s="21" t="inlineStr">
        <x:is>
          <x:t xml:space="preserve">Added now</x:t>
        </x:is>
      </x:c>
      <x:c r="B13" s="21" t="inlineStr">
        <x:is>
          <x:t xml:space="preserve">front_expiry_pin_pressure; term_structure_dislocation; skew_pressure_reversal</x:t>
        </x:is>
      </x:c>
      <x:c r="C13" s="21" t="n"/>
      <x:c r="D13" s="21" t="n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54.2899932861328" hidden="0" customWidth="1"/>
    <x:col min="2" max="2" width="10.289999961853027" hidden="0" customWidth="1"/>
    <x:col min="3" max="3" width="19.56999969482422" hidden="0" customWidth="1"/>
    <x:col min="4" max="4" width="12.710000038146973" hidden="0" customWidth="1"/>
    <x:col min="5" max="5" width="49.709999084472656" hidden="0" customWidth="1"/>
    <x:col min="6" max="6" width="47.56999969482422" hidden="0" customWidth="1"/>
    <x:col min="7" max="7" width="64.43000030517578" hidden="0" customWidth="1"/>
    <x:col min="8" max="8" width="94.43000030517578" hidden="0" customWidth="1"/>
  </x:cols>
  <x:sheetData>
    <x:row r="1" ht="17.08984375" hidden="0" customHeight="1">
      <x:c r="A1" s="75" t="str">
        <x:v>Repo Python Inventory</x:v>
      </x:c>
      <x:c r="B1" s="75"/>
      <x:c r="C1" s="75"/>
      <x:c r="D1" s="75"/>
      <x:c r="E1" s="75"/>
      <x:c r="F1" s="75"/>
      <x:c r="G1" s="75"/>
      <x:c r="H1" s="75"/>
    </x:row>
    <x:row r="2" ht="17.08984375" hidden="0" customHeight="1">
      <x:c r="A2" s="78" t="str">
        <x:v>Every Python file found in the repo zip, mapped to a practical stage/tree position. Tests, migrations, and tooling are kept so nothing disappears.</x:v>
      </x:c>
      <x:c r="B2" s="78"/>
      <x:c r="C2" s="78"/>
      <x:c r="D2" s="78"/>
      <x:c r="E2" s="78"/>
      <x:c r="F2" s="78"/>
      <x:c r="G2" s="78"/>
      <x:c r="H2" s="78"/>
    </x:row>
    <x:row r="3" ht="17.08984375" hidden="0" customHeight="1">
      <x:c r="A3"/>
      <x:c r="B3"/>
      <x:c r="C3"/>
      <x:c r="D3"/>
      <x:c r="E3"/>
      <x:c r="F3"/>
      <x:c r="G3"/>
      <x:c r="H3"/>
    </x:row>
    <x:row r="4" ht="17.08984375" hidden="0" customHeight="1">
      <x:c r="A4" s="84" t="str">
        <x:v>Repo Path</x:v>
      </x:c>
      <x:c r="B4" s="85" t="str">
        <x:v>File Role</x:v>
      </x:c>
      <x:c r="C4" s="85" t="str">
        <x:v>Area</x:v>
      </x:c>
      <x:c r="D4" s="85" t="str">
        <x:v>Stage Order</x:v>
      </x:c>
      <x:c r="E4" s="85" t="str">
        <x:v>Mapped Stage / Tree Position</x:v>
      </x:c>
      <x:c r="F4" s="85" t="str">
        <x:v>Package</x:v>
      </x:c>
      <x:c r="G4" s="85" t="str">
        <x:v>Filename</x:v>
      </x:c>
      <x:c r="H4" s="86" t="str">
        <x:v>Summary</x:v>
      </x:c>
    </x:row>
    <x:row r="5" ht="17.08984375" hidden="0" customHeight="1">
      <x:c r="A5" s="89" t="str">
        <x:v>alembic/env.py</x:v>
      </x:c>
      <x:c r="B5" s="88" t="str">
        <x:v>migration</x:v>
      </x:c>
      <x:c r="C5" s="88" t="str">
        <x:v>database</x:v>
      </x:c>
      <x:c r="D5" s="88" t="str"/>
      <x:c r="E5" s="88" t="str">
        <x:v>Infra / migrations</x:v>
      </x:c>
      <x:c r="F5" s="88" t="str">
        <x:v>alembic</x:v>
      </x:c>
      <x:c r="G5" s="88" t="str">
        <x:v>env.py</x:v>
      </x:c>
      <x:c r="H5" s="90" t="str">
        <x:v>Env</x:v>
      </x:c>
    </x:row>
    <x:row r="6" ht="17.08984375" hidden="0" customHeight="1">
      <x:c r="A6" s="89" t="str">
        <x:v>alembic/versions/20260318_0001_initial.py</x:v>
      </x:c>
      <x:c r="B6" s="88" t="str">
        <x:v>migration</x:v>
      </x:c>
      <x:c r="C6" s="88" t="str">
        <x:v>database</x:v>
      </x:c>
      <x:c r="D6" s="88" t="str"/>
      <x:c r="E6" s="88" t="str">
        <x:v>Infra / migrations</x:v>
      </x:c>
      <x:c r="F6" s="88" t="str">
        <x:v>alembic/versions</x:v>
      </x:c>
      <x:c r="G6" s="88" t="str">
        <x:v>20260318_0001_initial.py</x:v>
      </x:c>
      <x:c r="H6" s="90" t="str">
        <x:v>initial backbone</x:v>
      </x:c>
    </x:row>
    <x:row r="7" ht="17.08984375" hidden="0" customHeight="1">
      <x:c r="A7" s="89" t="str">
        <x:v>alembic/versions/20260319_0002_option_snapshot.py</x:v>
      </x:c>
      <x:c r="B7" s="88" t="str">
        <x:v>migration</x:v>
      </x:c>
      <x:c r="C7" s="88" t="str">
        <x:v>database</x:v>
      </x:c>
      <x:c r="D7" s="88" t="str"/>
      <x:c r="E7" s="88" t="str">
        <x:v>Infra / migrations</x:v>
      </x:c>
      <x:c r="F7" s="88" t="str">
        <x:v>alembic/versions</x:v>
      </x:c>
      <x:c r="G7" s="88" t="str">
        <x:v>20260319_0002_option_snapshot.py</x:v>
      </x:c>
      <x:c r="H7" s="90" t="str">
        <x:v>add option snapshot table</x:v>
      </x:c>
    </x:row>
    <x:row r="8" ht="17.08984375" hidden="0" customHeight="1">
      <x:c r="A8" s="89" t="str">
        <x:v>alembic/versions/20260319_0003_risk_decision_log.py</x:v>
      </x:c>
      <x:c r="B8" s="88" t="str">
        <x:v>migration</x:v>
      </x:c>
      <x:c r="C8" s="88" t="str">
        <x:v>database</x:v>
      </x:c>
      <x:c r="D8" s="88" t="str"/>
      <x:c r="E8" s="88" t="str">
        <x:v>Infra / migrations</x:v>
      </x:c>
      <x:c r="F8" s="88" t="str">
        <x:v>alembic/versions</x:v>
      </x:c>
      <x:c r="G8" s="88" t="str">
        <x:v>20260319_0003_risk_decision_log.py</x:v>
      </x:c>
      <x:c r="H8" s="90" t="str">
        <x:v>add risk decision log table</x:v>
      </x:c>
    </x:row>
    <x:row r="9" ht="17.08984375" hidden="0" customHeight="1">
      <x:c r="A9" s="89" t="str">
        <x:v>alembic/versions/20260320_0004_experiment_run.py</x:v>
      </x:c>
      <x:c r="B9" s="88" t="str">
        <x:v>migration</x:v>
      </x:c>
      <x:c r="C9" s="88" t="str">
        <x:v>database</x:v>
      </x:c>
      <x:c r="D9" s="88" t="str"/>
      <x:c r="E9" s="88" t="str">
        <x:v>Infra / migrations</x:v>
      </x:c>
      <x:c r="F9" s="88" t="str">
        <x:v>alembic/versions</x:v>
      </x:c>
      <x:c r="G9" s="88" t="str">
        <x:v>20260320_0004_experiment_run.py</x:v>
      </x:c>
      <x:c r="H9" s="90" t="str">
        <x:v>add experiment run table</x:v>
      </x:c>
    </x:row>
    <x:row r="10" ht="17.08984375" hidden="0" customHeight="1">
      <x:c r="A10" s="89" t="str">
        <x:v>alembic/versions/20260320_0005_second_wave_records.py</x:v>
      </x:c>
      <x:c r="B10" s="88" t="str">
        <x:v>migration</x:v>
      </x:c>
      <x:c r="C10" s="88" t="str">
        <x:v>database</x:v>
      </x:c>
      <x:c r="D10" s="88" t="str"/>
      <x:c r="E10" s="88" t="str">
        <x:v>Infra / migrations</x:v>
      </x:c>
      <x:c r="F10" s="88" t="str">
        <x:v>alembic/versions</x:v>
      </x:c>
      <x:c r="G10" s="88" t="str">
        <x:v>20260320_0005_second_wave_records.py</x:v>
      </x:c>
      <x:c r="H10" s="90" t="str">
        <x:v>add second-wave execution and event records</x:v>
      </x:c>
    </x:row>
    <x:row r="11" ht="17.08984375" hidden="0" customHeight="1">
      <x:c r="A11" s="89" t="str">
        <x:v>scripts/build_canonical_vocabulary.py</x:v>
      </x:c>
      <x:c r="B11" s="88" t="str">
        <x:v>script</x:v>
      </x:c>
      <x:c r="C11" s="88" t="str">
        <x:v>tooling</x:v>
      </x:c>
      <x:c r="D11" s="88" t="str"/>
      <x:c r="E11" s="88" t="str">
        <x:v>Cross-cutting / tooling</x:v>
      </x:c>
      <x:c r="F11" s="88" t="str">
        <x:v>scripts</x:v>
      </x:c>
      <x:c r="G11" s="88" t="str">
        <x:v>build_canonical_vocabulary.py</x:v>
      </x:c>
      <x:c r="H11" s="90" t="str">
        <x:v>Build the canonical desk vocabulary document.</x:v>
      </x:c>
    </x:row>
    <x:row r="12" ht="17.08984375" hidden="0" customHeight="1">
      <x:c r="A12" s="89" t="str">
        <x:v>src/nvda_desk/__init__.py</x:v>
      </x:c>
      <x:c r="B12" s="88" t="str">
        <x:v>source</x:v>
      </x:c>
      <x:c r="C12" s="88" t="str">
        <x:v>misc</x:v>
      </x:c>
      <x:c r="D12" s="88" t="str"/>
      <x:c r="E12" s="88" t="str">
        <x:v>Cross-cutting / misc</x:v>
      </x:c>
      <x:c r="F12" s="88" t="str">
        <x:v>src/nvda_desk</x:v>
      </x:c>
      <x:c r="G12" s="88" t="str">
        <x:v>__init__.py</x:v>
      </x:c>
      <x:c r="H12" s="90" t="str">
        <x:v>NVDA desk package.</x:v>
      </x:c>
    </x:row>
    <x:row r="13" ht="17.08984375" hidden="0" customHeight="1">
      <x:c r="A13" s="89" t="str">
        <x:v>src/nvda_desk/api/__init__.py</x:v>
      </x:c>
      <x:c r="B13" s="88" t="str">
        <x:v>source</x:v>
      </x:c>
      <x:c r="C13" s="88" t="str">
        <x:v>api/entry</x:v>
      </x:c>
      <x:c r="D13" s="88" t="str"/>
      <x:c r="E13" s="88" t="str">
        <x:v>Cross-cutting / entrypoints</x:v>
      </x:c>
      <x:c r="F13" s="88" t="str">
        <x:v>src/nvda_desk/api</x:v>
      </x:c>
      <x:c r="G13" s="88" t="str">
        <x:v>__init__.py</x:v>
      </x:c>
      <x:c r="H13" s="90" t="str">
        <x:v>  init  </x:v>
      </x:c>
    </x:row>
    <x:row r="14" ht="17.08984375" hidden="0" customHeight="1">
      <x:c r="A14" s="89" t="str">
        <x:v>src/nvda_desk/api/app.py</x:v>
      </x:c>
      <x:c r="B14" s="88" t="str">
        <x:v>source</x:v>
      </x:c>
      <x:c r="C14" s="88" t="str">
        <x:v>api/entry</x:v>
      </x:c>
      <x:c r="D14" s="88" t="str"/>
      <x:c r="E14" s="88" t="str">
        <x:v>Cross-cutting / entrypoints</x:v>
      </x:c>
      <x:c r="F14" s="88" t="str">
        <x:v>src/nvda_desk/api</x:v>
      </x:c>
      <x:c r="G14" s="88" t="str">
        <x:v>app.py</x:v>
      </x:c>
      <x:c r="H14" s="90" t="str">
        <x:v>App</x:v>
      </x:c>
    </x:row>
    <x:row r="15" ht="17.08984375" hidden="0" customHeight="1">
      <x:c r="A15" s="89" t="str">
        <x:v>src/nvda_desk/api/deps.py</x:v>
      </x:c>
      <x:c r="B15" s="88" t="str">
        <x:v>source</x:v>
      </x:c>
      <x:c r="C15" s="88" t="str">
        <x:v>api/entry</x:v>
      </x:c>
      <x:c r="D15" s="88" t="str"/>
      <x:c r="E15" s="88" t="str">
        <x:v>Cross-cutting / entrypoints</x:v>
      </x:c>
      <x:c r="F15" s="88" t="str">
        <x:v>src/nvda_desk/api</x:v>
      </x:c>
      <x:c r="G15" s="88" t="str">
        <x:v>deps.py</x:v>
      </x:c>
      <x:c r="H15" s="90" t="str">
        <x:v>Deps</x:v>
      </x:c>
    </x:row>
    <x:row r="16" ht="17.08984375" hidden="0" customHeight="1">
      <x:c r="A16" s="89" t="str">
        <x:v>src/nvda_desk/cli.py</x:v>
      </x:c>
      <x:c r="B16" s="88" t="str">
        <x:v>source</x:v>
      </x:c>
      <x:c r="C16" s="88" t="str">
        <x:v>api/entry</x:v>
      </x:c>
      <x:c r="D16" s="88" t="str"/>
      <x:c r="E16" s="88" t="str">
        <x:v>Cross-cutting / entrypoints</x:v>
      </x:c>
      <x:c r="F16" s="88" t="str">
        <x:v>src/nvda_desk</x:v>
      </x:c>
      <x:c r="G16" s="88" t="str">
        <x:v>cli.py</x:v>
      </x:c>
      <x:c r="H16" s="90" t="str">
        <x:v>Cli</x:v>
      </x:c>
    </x:row>
    <x:row r="17" ht="17.08984375" hidden="0" customHeight="1">
      <x:c r="A17" s="89" t="str">
        <x:v>src/nvda_desk/config.py</x:v>
      </x:c>
      <x:c r="B17" s="88" t="str">
        <x:v>source</x:v>
      </x:c>
      <x:c r="C17" s="88" t="str">
        <x:v>config</x:v>
      </x:c>
      <x:c r="D17" s="88" t="str"/>
      <x:c r="E17" s="88" t="str">
        <x:v>Cross-cutting / config &amp; registries</x:v>
      </x:c>
      <x:c r="F17" s="88" t="str">
        <x:v>src/nvda_desk</x:v>
      </x:c>
      <x:c r="G17" s="88" t="str">
        <x:v>config.py</x:v>
      </x:c>
      <x:c r="H17" s="90" t="str">
        <x:v>Config</x:v>
      </x:c>
    </x:row>
    <x:row r="18" ht="17.08984375" hidden="0" customHeight="1">
      <x:c r="A18" s="89" t="str">
        <x:v>src/nvda_desk/config_models.py</x:v>
      </x:c>
      <x:c r="B18" s="88" t="str">
        <x:v>source</x:v>
      </x:c>
      <x:c r="C18" s="88" t="str">
        <x:v>config</x:v>
      </x:c>
      <x:c r="D18" s="88" t="str"/>
      <x:c r="E18" s="88" t="str">
        <x:v>Cross-cutting / config &amp; registries</x:v>
      </x:c>
      <x:c r="F18" s="88" t="str">
        <x:v>src/nvda_desk</x:v>
      </x:c>
      <x:c r="G18" s="88" t="str">
        <x:v>config_models.py</x:v>
      </x:c>
      <x:c r="H18" s="90" t="str">
        <x:v>Config models</x:v>
      </x:c>
    </x:row>
    <x:row r="19" ht="17.08984375" hidden="0" customHeight="1">
      <x:c r="A19" s="89" t="str">
        <x:v>src/nvda_desk/db/__init__.py</x:v>
      </x:c>
      <x:c r="B19" s="88" t="str">
        <x:v>source</x:v>
      </x:c>
      <x:c r="C19" s="88" t="str">
        <x:v>database</x:v>
      </x:c>
      <x:c r="D19" s="88" t="str"/>
      <x:c r="E19" s="88" t="str">
        <x:v>Cross-cutting / persistence</x:v>
      </x:c>
      <x:c r="F19" s="88" t="str">
        <x:v>src/nvda_desk/db</x:v>
      </x:c>
      <x:c r="G19" s="88" t="str">
        <x:v>__init__.py</x:v>
      </x:c>
      <x:c r="H19" s="90" t="str">
        <x:v>  init  </x:v>
      </x:c>
    </x:row>
    <x:row r="20" ht="17.08984375" hidden="0" customHeight="1">
      <x:c r="A20" s="89" t="str">
        <x:v>src/nvda_desk/db/base.py</x:v>
      </x:c>
      <x:c r="B20" s="88" t="str">
        <x:v>source</x:v>
      </x:c>
      <x:c r="C20" s="88" t="str">
        <x:v>database</x:v>
      </x:c>
      <x:c r="D20" s="88" t="str"/>
      <x:c r="E20" s="88" t="str">
        <x:v>Cross-cutting / persistence</x:v>
      </x:c>
      <x:c r="F20" s="88" t="str">
        <x:v>src/nvda_desk/db</x:v>
      </x:c>
      <x:c r="G20" s="88" t="str">
        <x:v>base.py</x:v>
      </x:c>
      <x:c r="H20" s="90" t="str">
        <x:v>Base</x:v>
      </x:c>
    </x:row>
    <x:row r="21" ht="17.08984375" hidden="0" customHeight="1">
      <x:c r="A21" s="89" t="str">
        <x:v>src/nvda_desk/db/models.py</x:v>
      </x:c>
      <x:c r="B21" s="88" t="str">
        <x:v>source</x:v>
      </x:c>
      <x:c r="C21" s="88" t="str">
        <x:v>database</x:v>
      </x:c>
      <x:c r="D21" s="88" t="str"/>
      <x:c r="E21" s="88" t="str">
        <x:v>Cross-cutting / persistence</x:v>
      </x:c>
      <x:c r="F21" s="88" t="str">
        <x:v>src/nvda_desk/db</x:v>
      </x:c>
      <x:c r="G21" s="88" t="str">
        <x:v>models.py</x:v>
      </x:c>
      <x:c r="H21" s="90" t="str">
        <x:v>Models</x:v>
      </x:c>
    </x:row>
    <x:row r="22" ht="17.08984375" hidden="0" customHeight="1">
      <x:c r="A22" s="89" t="str">
        <x:v>src/nvda_desk/db/seed.py</x:v>
      </x:c>
      <x:c r="B22" s="88" t="str">
        <x:v>source</x:v>
      </x:c>
      <x:c r="C22" s="88" t="str">
        <x:v>database</x:v>
      </x:c>
      <x:c r="D22" s="88" t="str"/>
      <x:c r="E22" s="88" t="str">
        <x:v>Cross-cutting / persistence</x:v>
      </x:c>
      <x:c r="F22" s="88" t="str">
        <x:v>src/nvda_desk/db</x:v>
      </x:c>
      <x:c r="G22" s="88" t="str">
        <x:v>seed.py</x:v>
      </x:c>
      <x:c r="H22" s="90" t="str">
        <x:v>Seed</x:v>
      </x:c>
    </x:row>
    <x:row r="23" ht="17.08984375" hidden="0" customHeight="1">
      <x:c r="A23" s="89" t="str">
        <x:v>src/nvda_desk/db/session.py</x:v>
      </x:c>
      <x:c r="B23" s="88" t="str">
        <x:v>source</x:v>
      </x:c>
      <x:c r="C23" s="88" t="str">
        <x:v>database</x:v>
      </x:c>
      <x:c r="D23" s="88" t="str"/>
      <x:c r="E23" s="88" t="str">
        <x:v>Cross-cutting / persistence</x:v>
      </x:c>
      <x:c r="F23" s="88" t="str">
        <x:v>src/nvda_desk/db</x:v>
      </x:c>
      <x:c r="G23" s="88" t="str">
        <x:v>session.py</x:v>
      </x:c>
      <x:c r="H23" s="90" t="str">
        <x:v>Session</x:v>
      </x:c>
    </x:row>
    <x:row r="24" ht="17.08984375" hidden="0" customHeight="1">
      <x:c r="A24" s="89" t="str">
        <x:v>src/nvda_desk/domain/__init__.py</x:v>
      </x:c>
      <x:c r="B24" s="88" t="str">
        <x:v>source</x:v>
      </x:c>
      <x:c r="C24" s="88" t="str">
        <x:v>misc</x:v>
      </x:c>
      <x:c r="D24" s="88" t="str"/>
      <x:c r="E24" s="88" t="str">
        <x:v>Cross-cutting / misc</x:v>
      </x:c>
      <x:c r="F24" s="88" t="str">
        <x:v>src/nvda_desk/domain</x:v>
      </x:c>
      <x:c r="G24" s="88" t="str">
        <x:v>__init__.py</x:v>
      </x:c>
      <x:c r="H24" s="90" t="str">
        <x:v>  init  </x:v>
      </x:c>
    </x:row>
    <x:row r="25" ht="17.08984375" hidden="0" customHeight="1">
      <x:c r="A25" s="89" t="str">
        <x:v>src/nvda_desk/domain/session_clock.py</x:v>
      </x:c>
      <x:c r="B25" s="88" t="str">
        <x:v>source</x:v>
      </x:c>
      <x:c r="C25" s="88" t="str">
        <x:v>cognition</x:v>
      </x:c>
      <x:c r="D25" s="88" t="n">
        <x:v>1</x:v>
      </x:c>
      <x:c r="E25" s="88" t="str">
        <x:v>Stage 1 Temporal context</x:v>
      </x:c>
      <x:c r="F25" s="88" t="str">
        <x:v>src/nvda_desk/domain</x:v>
      </x:c>
      <x:c r="G25" s="88" t="str">
        <x:v>session_clock.py</x:v>
      </x:c>
      <x:c r="H25" s="90" t="str">
        <x:v>Session clock</x:v>
      </x:c>
    </x:row>
    <x:row r="26" ht="17.08984375" hidden="0" customHeight="1">
      <x:c r="A26" s="89" t="str">
        <x:v>src/nvda_desk/domain/temporal_state.py</x:v>
      </x:c>
      <x:c r="B26" s="88" t="str">
        <x:v>source</x:v>
      </x:c>
      <x:c r="C26" s="88" t="str">
        <x:v>cognition</x:v>
      </x:c>
      <x:c r="D26" s="88" t="n">
        <x:v>1</x:v>
      </x:c>
      <x:c r="E26" s="88" t="str">
        <x:v>Stage 1 Temporal context</x:v>
      </x:c>
      <x:c r="F26" s="88" t="str">
        <x:v>src/nvda_desk/domain</x:v>
      </x:c>
      <x:c r="G26" s="88" t="str">
        <x:v>temporal_state.py</x:v>
      </x:c>
      <x:c r="H26" s="90" t="str">
        <x:v>Temporal state</x:v>
      </x:c>
    </x:row>
    <x:row r="27" ht="17.08984375" hidden="0" customHeight="1">
      <x:c r="A27" s="89" t="str">
        <x:v>src/nvda_desk/fixtures.py</x:v>
      </x:c>
      <x:c r="B27" s="88" t="str">
        <x:v>source</x:v>
      </x:c>
      <x:c r="C27" s="88" t="str">
        <x:v>config</x:v>
      </x:c>
      <x:c r="D27" s="88" t="str"/>
      <x:c r="E27" s="88" t="str">
        <x:v>Cross-cutting / config &amp; registries</x:v>
      </x:c>
      <x:c r="F27" s="88" t="str">
        <x:v>src/nvda_desk</x:v>
      </x:c>
      <x:c r="G27" s="88" t="str">
        <x:v>fixtures.py</x:v>
      </x:c>
      <x:c r="H27" s="90" t="str">
        <x:v>Fixtures</x:v>
      </x:c>
    </x:row>
    <x:row r="28" ht="17.08984375" hidden="0" customHeight="1">
      <x:c r="A28" s="89" t="str">
        <x:v>src/nvda_desk/main.py</x:v>
      </x:c>
      <x:c r="B28" s="88" t="str">
        <x:v>source</x:v>
      </x:c>
      <x:c r="C28" s="88" t="str">
        <x:v>api/entry</x:v>
      </x:c>
      <x:c r="D28" s="88" t="str"/>
      <x:c r="E28" s="88" t="str">
        <x:v>Cross-cutting / entrypoints</x:v>
      </x:c>
      <x:c r="F28" s="88" t="str">
        <x:v>src/nvda_desk</x:v>
      </x:c>
      <x:c r="G28" s="88" t="str">
        <x:v>main.py</x:v>
      </x:c>
      <x:c r="H28" s="90" t="str">
        <x:v>Main</x:v>
      </x:c>
    </x:row>
    <x:row r="29" ht="17.08984375" hidden="0" customHeight="1">
      <x:c r="A29" s="89" t="str">
        <x:v>src/nvda_desk/schemas/__init__.py</x:v>
      </x:c>
      <x:c r="B29" s="88" t="str">
        <x:v>source</x:v>
      </x:c>
      <x:c r="C29" s="88" t="str">
        <x:v>schema</x:v>
      </x:c>
      <x:c r="D29" s="88" t="str"/>
      <x:c r="E29" s="88" t="str">
        <x:v>Schema contracts / cross-cutting</x:v>
      </x:c>
      <x:c r="F29" s="88" t="str">
        <x:v>src/nvda_desk/schemas</x:v>
      </x:c>
      <x:c r="G29" s="88" t="str">
        <x:v>__init__.py</x:v>
      </x:c>
      <x:c r="H29" s="90" t="str">
        <x:v>  init  </x:v>
      </x:c>
    </x:row>
    <x:row r="30" ht="17.08984375" hidden="0" customHeight="1">
      <x:c r="A30" s="89" t="str">
        <x:v>src/nvda_desk/schemas/allocation.py</x:v>
      </x:c>
      <x:c r="B30" s="88" t="str">
        <x:v>source</x:v>
      </x:c>
      <x:c r="C30" s="88" t="str">
        <x:v>schema</x:v>
      </x:c>
      <x:c r="D30" s="88" t="str"/>
      <x:c r="E30" s="88" t="str">
        <x:v>Schema contracts / cross-cutting</x:v>
      </x:c>
      <x:c r="F30" s="88" t="str">
        <x:v>src/nvda_desk/schemas</x:v>
      </x:c>
      <x:c r="G30" s="88" t="str">
        <x:v>allocation.py</x:v>
      </x:c>
      <x:c r="H30" s="90" t="str">
        <x:v>Allocation</x:v>
      </x:c>
    </x:row>
    <x:row r="31" ht="17.08984375" hidden="0" customHeight="1">
      <x:c r="A31" s="89" t="str">
        <x:v>src/nvda_desk/schemas/calibration.py</x:v>
      </x:c>
      <x:c r="B31" s="88" t="str">
        <x:v>source</x:v>
      </x:c>
      <x:c r="C31" s="88" t="str">
        <x:v>schema</x:v>
      </x:c>
      <x:c r="D31" s="88" t="str"/>
      <x:c r="E31" s="88" t="str">
        <x:v>Schema contracts / review &amp; evaluation</x:v>
      </x:c>
      <x:c r="F31" s="88" t="str">
        <x:v>src/nvda_desk/schemas</x:v>
      </x:c>
      <x:c r="G31" s="88" t="str">
        <x:v>calibration.py</x:v>
      </x:c>
      <x:c r="H31" s="90" t="str">
        <x:v>Typed contracts for deterministic replay, calibration, and stack comparison.</x:v>
      </x:c>
    </x:row>
    <x:row r="32" ht="17.08984375" hidden="0" customHeight="1">
      <x:c r="A32" s="89" t="str">
        <x:v>src/nvda_desk/schemas/cognition.py</x:v>
      </x:c>
      <x:c r="B32" s="88" t="str">
        <x:v>source</x:v>
      </x:c>
      <x:c r="C32" s="88" t="str">
        <x:v>schema</x:v>
      </x:c>
      <x:c r="D32" s="88" t="str"/>
      <x:c r="E32" s="88" t="str">
        <x:v>Schema contracts / cognition core</x:v>
      </x:c>
      <x:c r="F32" s="88" t="str">
        <x:v>src/nvda_desk/schemas</x:v>
      </x:c>
      <x:c r="G32" s="88" t="str">
        <x:v>cognition.py</x:v>
      </x:c>
      <x:c r="H32" s="90" t="str">
        <x:v>Typed runtime contracts for the Desk Cognition Grammar.</x:v>
      </x:c>
    </x:row>
    <x:row r="33" ht="17.08984375" hidden="0" customHeight="1">
      <x:c r="A33" s="89" t="str">
        <x:v>src/nvda_desk/schemas/config.py</x:v>
      </x:c>
      <x:c r="B33" s="88" t="str">
        <x:v>source</x:v>
      </x:c>
      <x:c r="C33" s="88" t="str">
        <x:v>schema</x:v>
      </x:c>
      <x:c r="D33" s="88" t="str"/>
      <x:c r="E33" s="88" t="str">
        <x:v>Schema contracts / cross-cutting</x:v>
      </x:c>
      <x:c r="F33" s="88" t="str">
        <x:v>src/nvda_desk/schemas</x:v>
      </x:c>
      <x:c r="G33" s="88" t="str">
        <x:v>config.py</x:v>
      </x:c>
      <x:c r="H33" s="90" t="str">
        <x:v>Configuration-surface contracts.</x:v>
      </x:c>
    </x:row>
    <x:row r="34" ht="17.08984375" hidden="0" customHeight="1">
      <x:c r="A34" s="89" t="str">
        <x:v>src/nvda_desk/schemas/dataset.py</x:v>
      </x:c>
      <x:c r="B34" s="88" t="str">
        <x:v>source</x:v>
      </x:c>
      <x:c r="C34" s="88" t="str">
        <x:v>schema</x:v>
      </x:c>
      <x:c r="D34" s="88" t="str"/>
      <x:c r="E34" s="88" t="str">
        <x:v>Schema contracts / cross-cutting</x:v>
      </x:c>
      <x:c r="F34" s="88" t="str">
        <x:v>src/nvda_desk/schemas</x:v>
      </x:c>
      <x:c r="G34" s="88" t="str">
        <x:v>dataset.py</x:v>
      </x:c>
      <x:c r="H34" s="90" t="str">
        <x:v>Typed contracts for deterministic real-data runtime preparation.</x:v>
      </x:c>
    </x:row>
    <x:row r="35" ht="17.08984375" hidden="0" customHeight="1">
      <x:c r="A35" s="89" t="str">
        <x:v>src/nvda_desk/schemas/dmp.py</x:v>
      </x:c>
      <x:c r="B35" s="88" t="str">
        <x:v>source</x:v>
      </x:c>
      <x:c r="C35" s="88" t="str">
        <x:v>schema</x:v>
      </x:c>
      <x:c r="D35" s="88" t="str"/>
      <x:c r="E35" s="88" t="str">
        <x:v>Schema contracts / cross-cutting</x:v>
      </x:c>
      <x:c r="F35" s="88" t="str">
        <x:v>src/nvda_desk/schemas</x:v>
      </x:c>
      <x:c r="G35" s="88" t="str">
        <x:v>dmp.py</x:v>
      </x:c>
      <x:c r="H35" s="90" t="str">
        <x:v>Desk Module Protocol (DMP) v1 typed envelope.</x:v>
      </x:c>
    </x:row>
    <x:row r="36" ht="17.08984375" hidden="0" customHeight="1">
      <x:c r="A36" s="89" t="str">
        <x:v>src/nvda_desk/schemas/dmp_v2.py</x:v>
      </x:c>
      <x:c r="B36" s="88" t="str">
        <x:v>source</x:v>
      </x:c>
      <x:c r="C36" s="88" t="str">
        <x:v>schema</x:v>
      </x:c>
      <x:c r="D36" s="88" t="str"/>
      <x:c r="E36" s="88" t="str">
        <x:v>Schema contracts / cross-cutting</x:v>
      </x:c>
      <x:c r="F36" s="88" t="str">
        <x:v>src/nvda_desk/schemas</x:v>
      </x:c>
      <x:c r="G36" s="88" t="str">
        <x:v>dmp_v2.py</x:v>
      </x:c>
      <x:c r="H36" s="90" t="str">
        <x:v>Desk Module Protocol (DMP) v2 typed packet contract.</x:v>
      </x:c>
    </x:row>
    <x:row r="37" ht="17.08984375" hidden="0" customHeight="1">
      <x:c r="A37" s="89" t="str">
        <x:v>src/nvda_desk/schemas/eval.py</x:v>
      </x:c>
      <x:c r="B37" s="88" t="str">
        <x:v>source</x:v>
      </x:c>
      <x:c r="C37" s="88" t="str">
        <x:v>schema</x:v>
      </x:c>
      <x:c r="D37" s="88" t="str"/>
      <x:c r="E37" s="88" t="str">
        <x:v>Schema contracts / review &amp; evaluation</x:v>
      </x:c>
      <x:c r="F37" s="88" t="str">
        <x:v>src/nvda_desk/schemas</x:v>
      </x:c>
      <x:c r="G37" s="88" t="str">
        <x:v>eval.py</x:v>
      </x:c>
      <x:c r="H37" s="90" t="str">
        <x:v>Eval</x:v>
      </x:c>
    </x:row>
    <x:row r="38" ht="17.08984375" hidden="0" customHeight="1">
      <x:c r="A38" s="89" t="str">
        <x:v>src/nvda_desk/schemas/events.py</x:v>
      </x:c>
      <x:c r="B38" s="88" t="str">
        <x:v>source</x:v>
      </x:c>
      <x:c r="C38" s="88" t="str">
        <x:v>schema</x:v>
      </x:c>
      <x:c r="D38" s="88" t="str"/>
      <x:c r="E38" s="88" t="str">
        <x:v>Schema contracts / event &amp; precursor</x:v>
      </x:c>
      <x:c r="F38" s="88" t="str">
        <x:v>src/nvda_desk/schemas</x:v>
      </x:c>
      <x:c r="G38" s="88" t="str">
        <x:v>events.py</x:v>
      </x:c>
      <x:c r="H38" s="90" t="str">
        <x:v>Events</x:v>
      </x:c>
    </x:row>
    <x:row r="39" ht="17.08984375" hidden="0" customHeight="1">
      <x:c r="A39" s="89" t="str">
        <x:v>src/nvda_desk/schemas/execution_records.py</x:v>
      </x:c>
      <x:c r="B39" s="88" t="str">
        <x:v>source</x:v>
      </x:c>
      <x:c r="C39" s="88" t="str">
        <x:v>cognition</x:v>
      </x:c>
      <x:c r="D39" s="88" t="n">
        <x:v>6</x:v>
      </x:c>
      <x:c r="E39" s="88" t="str">
        <x:v>Stage 6 Expression / execution</x:v>
      </x:c>
      <x:c r="F39" s="88" t="str">
        <x:v>src/nvda_desk/schemas</x:v>
      </x:c>
      <x:c r="G39" s="88" t="str">
        <x:v>execution_records.py</x:v>
      </x:c>
      <x:c r="H39" s="90" t="str">
        <x:v>Execution records</x:v>
      </x:c>
    </x:row>
    <x:row r="40" ht="17.08984375" hidden="0" customHeight="1">
      <x:c r="A40" s="89" t="str">
        <x:v>src/nvda_desk/schemas/import_registry.py</x:v>
      </x:c>
      <x:c r="B40" s="88" t="str">
        <x:v>source</x:v>
      </x:c>
      <x:c r="C40" s="88" t="str">
        <x:v>schema</x:v>
      </x:c>
      <x:c r="D40" s="88" t="str"/>
      <x:c r="E40" s="88" t="str">
        <x:v>Schema contracts / cross-cutting</x:v>
      </x:c>
      <x:c r="F40" s="88" t="str">
        <x:v>src/nvda_desk/schemas</x:v>
      </x:c>
      <x:c r="G40" s="88" t="str">
        <x:v>import_registry.py</x:v>
      </x:c>
      <x:c r="H40" s="90" t="str">
        <x:v>Typed contracts for canonical import registry and grammar mappings.</x:v>
      </x:c>
    </x:row>
    <x:row r="41" ht="17.08984375" hidden="0" customHeight="1">
      <x:c r="A41" s="89" t="str">
        <x:v>src/nvda_desk/schemas/imported_modules/__init__.py</x:v>
      </x:c>
      <x:c r="B41" s="88" t="str">
        <x:v>source</x:v>
      </x:c>
      <x:c r="C41" s="88" t="str">
        <x:v>schema</x:v>
      </x:c>
      <x:c r="D41" s="88" t="str"/>
      <x:c r="E41" s="88" t="str">
        <x:v>Schema contracts / cross-cutting</x:v>
      </x:c>
      <x:c r="F41" s="88" t="str">
        <x:v>src/nvda_desk/schemas/imported_modules</x:v>
      </x:c>
      <x:c r="G41" s="88" t="str">
        <x:v>__init__.py</x:v>
      </x:c>
      <x:c r="H41" s="90" t="str">
        <x:v>Typed imported-module contract surfaces.</x:v>
      </x:c>
    </x:row>
    <x:row r="42" ht="17.08984375" hidden="0" customHeight="1">
      <x:c r="A42" s="89" t="str">
        <x:v>src/nvda_desk/schemas/imported_modules/context_scanners.py</x:v>
      </x:c>
      <x:c r="B42" s="88" t="str">
        <x:v>source</x:v>
      </x:c>
      <x:c r="C42" s="88" t="str">
        <x:v>schema</x:v>
      </x:c>
      <x:c r="D42" s="88" t="str"/>
      <x:c r="E42" s="88" t="str">
        <x:v>Schema contracts / cross-cutting</x:v>
      </x:c>
      <x:c r="F42" s="88" t="str">
        <x:v>src/nvda_desk/schemas/imported_modules</x:v>
      </x:c>
      <x:c r="G42" s="88" t="str">
        <x:v>context_scanners.py</x:v>
      </x:c>
      <x:c r="H42" s="90" t="str">
        <x:v>Typed Gate 19 context and scanner contracts.</x:v>
      </x:c>
    </x:row>
    <x:row r="43" ht="17.08984375" hidden="0" customHeight="1">
      <x:c r="A43" s="89" t="str">
        <x:v>src/nvda_desk/schemas/imported_modules/execution_lifecycle.py</x:v>
      </x:c>
      <x:c r="B43" s="88" t="str">
        <x:v>source</x:v>
      </x:c>
      <x:c r="C43" s="88" t="str">
        <x:v>schema</x:v>
      </x:c>
      <x:c r="D43" s="88" t="str"/>
      <x:c r="E43" s="88" t="str">
        <x:v>Schema contracts / cross-cutting</x:v>
      </x:c>
      <x:c r="F43" s="88" t="str">
        <x:v>src/nvda_desk/schemas/imported_modules</x:v>
      </x:c>
      <x:c r="G43" s="88" t="str">
        <x:v>execution_lifecycle.py</x:v>
      </x:c>
      <x:c r="H43" s="90" t="str">
        <x:v>Typed Gate 22 execution-state, exit, and lifecycle contracts.</x:v>
      </x:c>
    </x:row>
    <x:row r="44" ht="17.08984375" hidden="0" customHeight="1">
      <x:c r="A44" s="89" t="str">
        <x:v>src/nvda_desk/schemas/imported_modules/execution_planning.py</x:v>
      </x:c>
      <x:c r="B44" s="88" t="str">
        <x:v>source</x:v>
      </x:c>
      <x:c r="C44" s="88" t="str">
        <x:v>schema</x:v>
      </x:c>
      <x:c r="D44" s="88" t="str"/>
      <x:c r="E44" s="88" t="str">
        <x:v>Schema contracts / cross-cutting</x:v>
      </x:c>
      <x:c r="F44" s="88" t="str">
        <x:v>src/nvda_desk/schemas/imported_modules</x:v>
      </x:c>
      <x:c r="G44" s="88" t="str">
        <x:v>execution_planning.py</x:v>
      </x:c>
      <x:c r="H44" s="90" t="str">
        <x:v>Typed Gate 21 execution-planning and broker-abstraction contracts.</x:v>
      </x:c>
    </x:row>
    <x:row r="45" ht="17.08984375" hidden="0" customHeight="1">
      <x:c r="A45" s="89" t="str">
        <x:v>src/nvda_desk/schemas/imported_modules/ladder_readiness_overlays.py</x:v>
      </x:c>
      <x:c r="B45" s="88" t="str">
        <x:v>source</x:v>
      </x:c>
      <x:c r="C45" s="88" t="str">
        <x:v>schema</x:v>
      </x:c>
      <x:c r="D45" s="88" t="str"/>
      <x:c r="E45" s="88" t="str">
        <x:v>Schema contracts / cross-cutting</x:v>
      </x:c>
      <x:c r="F45" s="88" t="str">
        <x:v>src/nvda_desk/schemas/imported_modules</x:v>
      </x:c>
      <x:c r="G45" s="88" t="str">
        <x:v>ladder_readiness_overlays.py</x:v>
      </x:c>
      <x:c r="H45" s="90" t="str">
        <x:v>Typed Gate 33 ladder-readiness overlay contracts.</x:v>
      </x:c>
    </x:row>
    <x:row r="46" ht="17.08984375" hidden="0" customHeight="1">
      <x:c r="A46" s="89" t="str">
        <x:v>src/nvda_desk/schemas/imported_modules/market_context_synthesis.py</x:v>
      </x:c>
      <x:c r="B46" s="88" t="str">
        <x:v>source</x:v>
      </x:c>
      <x:c r="C46" s="88" t="str">
        <x:v>schema</x:v>
      </x:c>
      <x:c r="D46" s="88" t="str"/>
      <x:c r="E46" s="88" t="str">
        <x:v>Schema contracts / cross-cutting</x:v>
      </x:c>
      <x:c r="F46" s="88" t="str">
        <x:v>src/nvda_desk/schemas/imported_modules</x:v>
      </x:c>
      <x:c r="G46" s="88" t="str">
        <x:v>market_context_synthesis.py</x:v>
      </x:c>
      <x:c r="H46" s="90" t="str">
        <x:v>Typed Gate 29 market-context synthesis contracts.</x:v>
      </x:c>
    </x:row>
    <x:row r="47" ht="17.08984375" hidden="0" customHeight="1">
      <x:c r="A47" s="89" t="str">
        <x:v>src/nvda_desk/schemas/imported_modules/market_substrate.py</x:v>
      </x:c>
      <x:c r="B47" s="88" t="str">
        <x:v>source</x:v>
      </x:c>
      <x:c r="C47" s="88" t="str">
        <x:v>schema</x:v>
      </x:c>
      <x:c r="D47" s="88" t="str"/>
      <x:c r="E47" s="88" t="str">
        <x:v>Schema contracts / cross-cutting</x:v>
      </x:c>
      <x:c r="F47" s="88" t="str">
        <x:v>src/nvda_desk/schemas/imported_modules</x:v>
      </x:c>
      <x:c r="G47" s="88" t="str">
        <x:v>market_substrate.py</x:v>
      </x:c>
      <x:c r="H47" s="90" t="str">
        <x:v>Typed shared market-data substrate contracts for Gate 18.</x:v>
      </x:c>
    </x:row>
    <x:row r="48" ht="17.08984375" hidden="0" customHeight="1">
      <x:c r="A48" s="89" t="str">
        <x:v>src/nvda_desk/schemas/imported_modules/posture_enrichers.py</x:v>
      </x:c>
      <x:c r="B48" s="88" t="str">
        <x:v>source</x:v>
      </x:c>
      <x:c r="C48" s="88" t="str">
        <x:v>schema</x:v>
      </x:c>
      <x:c r="D48" s="88" t="str"/>
      <x:c r="E48" s="88" t="str">
        <x:v>Schema contracts / cross-cutting</x:v>
      </x:c>
      <x:c r="F48" s="88" t="str">
        <x:v>src/nvda_desk/schemas/imported_modules</x:v>
      </x:c>
      <x:c r="G48" s="88" t="str">
        <x:v>posture_enrichers.py</x:v>
      </x:c>
      <x:c r="H48" s="90" t="str">
        <x:v>Typed Gate 20 eligibility and posture enricher contracts.</x:v>
      </x:c>
    </x:row>
    <x:row r="49" ht="17.08984375" hidden="0" customHeight="1">
      <x:c r="A49" s="89" t="str">
        <x:v>src/nvda_desk/schemas/imported_modules/review_attribution.py</x:v>
      </x:c>
      <x:c r="B49" s="88" t="str">
        <x:v>source</x:v>
      </x:c>
      <x:c r="C49" s="88" t="str">
        <x:v>schema</x:v>
      </x:c>
      <x:c r="D49" s="88" t="str"/>
      <x:c r="E49" s="88" t="str">
        <x:v>Schema contracts / cross-cutting</x:v>
      </x:c>
      <x:c r="F49" s="88" t="str">
        <x:v>src/nvda_desk/schemas/imported_modules</x:v>
      </x:c>
      <x:c r="G49" s="88" t="str">
        <x:v>review_attribution.py</x:v>
      </x:c>
      <x:c r="H49" s="90" t="str">
        <x:v>Typed Gate 23 review, P&amp;L, attribution, and variant-tracking contracts.</x:v>
      </x:c>
    </x:row>
    <x:row r="50" ht="17.08984375" hidden="0" customHeight="1">
      <x:c r="A50" s="89" t="str">
        <x:v>src/nvda_desk/schemas/imported_modules/tranche_a.py</x:v>
      </x:c>
      <x:c r="B50" s="88" t="str">
        <x:v>source</x:v>
      </x:c>
      <x:c r="C50" s="88" t="str">
        <x:v>schema</x:v>
      </x:c>
      <x:c r="D50" s="88" t="str"/>
      <x:c r="E50" s="88" t="str">
        <x:v>Schema contracts / cross-cutting</x:v>
      </x:c>
      <x:c r="F50" s="88" t="str">
        <x:v>src/nvda_desk/schemas/imported_modules</x:v>
      </x:c>
      <x:c r="G50" s="88" t="str">
        <x:v>tranche_a.py</x:v>
      </x:c>
      <x:c r="H50" s="90" t="str">
        <x:v>Typed tranche-A contract surfaces for imported upstream detectors and selectors.</x:v>
      </x:c>
    </x:row>
    <x:row r="51" ht="17.08984375" hidden="0" customHeight="1">
      <x:c r="A51" s="89" t="str">
        <x:v>src/nvda_desk/schemas/market.py</x:v>
      </x:c>
      <x:c r="B51" s="88" t="str">
        <x:v>source</x:v>
      </x:c>
      <x:c r="C51" s="88" t="str">
        <x:v>schema</x:v>
      </x:c>
      <x:c r="D51" s="88" t="str"/>
      <x:c r="E51" s="88" t="str">
        <x:v>Schema contracts / event &amp; precursor</x:v>
      </x:c>
      <x:c r="F51" s="88" t="str">
        <x:v>src/nvda_desk/schemas</x:v>
      </x:c>
      <x:c r="G51" s="88" t="str">
        <x:v>market.py</x:v>
      </x:c>
      <x:c r="H51" s="90" t="str">
        <x:v>Market</x:v>
      </x:c>
    </x:row>
    <x:row r="52" ht="17.08984375" hidden="0" customHeight="1">
      <x:c r="A52" s="89" t="str">
        <x:v>src/nvda_desk/schemas/module.py</x:v>
      </x:c>
      <x:c r="B52" s="88" t="str">
        <x:v>source</x:v>
      </x:c>
      <x:c r="C52" s="88" t="str">
        <x:v>schema</x:v>
      </x:c>
      <x:c r="D52" s="88" t="str"/>
      <x:c r="E52" s="88" t="str">
        <x:v>Schema contracts / cross-cutting</x:v>
      </x:c>
      <x:c r="F52" s="88" t="str">
        <x:v>src/nvda_desk/schemas</x:v>
      </x:c>
      <x:c r="G52" s="88" t="str">
        <x:v>module.py</x:v>
      </x:c>
      <x:c r="H52" s="90" t="str">
        <x:v>Module</x:v>
      </x:c>
    </x:row>
    <x:row r="53" ht="17.08984375" hidden="0" customHeight="1">
      <x:c r="A53" s="89" t="str">
        <x:v>src/nvda_desk/schemas/options.py</x:v>
      </x:c>
      <x:c r="B53" s="88" t="str">
        <x:v>source</x:v>
      </x:c>
      <x:c r="C53" s="88" t="str">
        <x:v>schema</x:v>
      </x:c>
      <x:c r="D53" s="88" t="str"/>
      <x:c r="E53" s="88" t="str">
        <x:v>Schema contracts / cross-cutting</x:v>
      </x:c>
      <x:c r="F53" s="88" t="str">
        <x:v>src/nvda_desk/schemas</x:v>
      </x:c>
      <x:c r="G53" s="88" t="str">
        <x:v>options.py</x:v>
      </x:c>
      <x:c r="H53" s="90" t="str">
        <x:v>Options</x:v>
      </x:c>
    </x:row>
    <x:row r="54" ht="17.08984375" hidden="0" customHeight="1">
      <x:c r="A54" s="89" t="str">
        <x:v>src/nvda_desk/schemas/overnight.py</x:v>
      </x:c>
      <x:c r="B54" s="88" t="str">
        <x:v>source</x:v>
      </x:c>
      <x:c r="C54" s="88" t="str">
        <x:v>schema</x:v>
      </x:c>
      <x:c r="D54" s="88" t="str"/>
      <x:c r="E54" s="88" t="str">
        <x:v>Schema contracts / event &amp; precursor</x:v>
      </x:c>
      <x:c r="F54" s="88" t="str">
        <x:v>src/nvda_desk/schemas</x:v>
      </x:c>
      <x:c r="G54" s="88" t="str">
        <x:v>overnight.py</x:v>
      </x:c>
      <x:c r="H54" s="90" t="str">
        <x:v>Overnight</x:v>
      </x:c>
    </x:row>
    <x:row r="55" ht="17.08984375" hidden="0" customHeight="1">
      <x:c r="A55" s="89" t="str">
        <x:v>src/nvda_desk/schemas/playbook_registry.py</x:v>
      </x:c>
      <x:c r="B55" s="88" t="str">
        <x:v>source</x:v>
      </x:c>
      <x:c r="C55" s="88" t="str">
        <x:v>cognition</x:v>
      </x:c>
      <x:c r="D55" s="88" t="n">
        <x:v>5</x:v>
      </x:c>
      <x:c r="E55" s="88" t="str">
        <x:v>Stage 5 Playbook eligibility</x:v>
      </x:c>
      <x:c r="F55" s="88" t="str">
        <x:v>src/nvda_desk/schemas</x:v>
      </x:c>
      <x:c r="G55" s="88" t="str">
        <x:v>playbook_registry.py</x:v>
      </x:c>
      <x:c r="H55" s="90" t="str">
        <x:v>Typed checked-in playbook registry contracts.</x:v>
      </x:c>
    </x:row>
    <x:row r="56" ht="17.08984375" hidden="0" customHeight="1">
      <x:c r="A56" s="89" t="str">
        <x:v>src/nvda_desk/schemas/replay.py</x:v>
      </x:c>
      <x:c r="B56" s="88" t="str">
        <x:v>source</x:v>
      </x:c>
      <x:c r="C56" s="88" t="str">
        <x:v>review</x:v>
      </x:c>
      <x:c r="D56" s="88" t="n">
        <x:v>7</x:v>
      </x:c>
      <x:c r="E56" s="88" t="str">
        <x:v>Stage 7 Review / replay / promotion</x:v>
      </x:c>
      <x:c r="F56" s="88" t="str">
        <x:v>src/nvda_desk/schemas</x:v>
      </x:c>
      <x:c r="G56" s="88" t="str">
        <x:v>replay.py</x:v>
      </x:c>
      <x:c r="H56" s="90" t="str">
        <x:v>Replay</x:v>
      </x:c>
    </x:row>
    <x:row r="57" ht="17.08984375" hidden="0" customHeight="1">
      <x:c r="A57" s="89" t="str">
        <x:v>src/nvda_desk/schemas/research.py</x:v>
      </x:c>
      <x:c r="B57" s="88" t="str">
        <x:v>source</x:v>
      </x:c>
      <x:c r="C57" s="88" t="str">
        <x:v>review</x:v>
      </x:c>
      <x:c r="D57" s="88" t="n">
        <x:v>7</x:v>
      </x:c>
      <x:c r="E57" s="88" t="str">
        <x:v>Stage 7 Review / replay / promotion</x:v>
      </x:c>
      <x:c r="F57" s="88" t="str">
        <x:v>src/nvda_desk/schemas</x:v>
      </x:c>
      <x:c r="G57" s="88" t="str">
        <x:v>research.py</x:v>
      </x:c>
      <x:c r="H57" s="90" t="str">
        <x:v>Research</x:v>
      </x:c>
    </x:row>
    <x:row r="58" ht="17.08984375" hidden="0" customHeight="1">
      <x:c r="A58" s="89" t="str">
        <x:v>src/nvda_desk/schemas/review.py</x:v>
      </x:c>
      <x:c r="B58" s="88" t="str">
        <x:v>source</x:v>
      </x:c>
      <x:c r="C58" s="88" t="str">
        <x:v>schema</x:v>
      </x:c>
      <x:c r="D58" s="88" t="str"/>
      <x:c r="E58" s="88" t="str">
        <x:v>Schema contracts / review &amp; evaluation</x:v>
      </x:c>
      <x:c r="F58" s="88" t="str">
        <x:v>src/nvda_desk/schemas</x:v>
      </x:c>
      <x:c r="G58" s="88" t="str">
        <x:v>review.py</x:v>
      </x:c>
      <x:c r="H58" s="90" t="str">
        <x:v>Review and daily packet contracts.</x:v>
      </x:c>
    </x:row>
    <x:row r="59" ht="17.08984375" hidden="0" customHeight="1">
      <x:c r="A59" s="89" t="str">
        <x:v>src/nvda_desk/schemas/risk.py</x:v>
      </x:c>
      <x:c r="B59" s="88" t="str">
        <x:v>source</x:v>
      </x:c>
      <x:c r="C59" s="88" t="str">
        <x:v>schema</x:v>
      </x:c>
      <x:c r="D59" s="88" t="str"/>
      <x:c r="E59" s="88" t="str">
        <x:v>Schema contracts / cognition core</x:v>
      </x:c>
      <x:c r="F59" s="88" t="str">
        <x:v>src/nvda_desk/schemas</x:v>
      </x:c>
      <x:c r="G59" s="88" t="str">
        <x:v>risk.py</x:v>
      </x:c>
      <x:c r="H59" s="90" t="str">
        <x:v>Risk</x:v>
      </x:c>
    </x:row>
    <x:row r="60" ht="17.08984375" hidden="0" customHeight="1">
      <x:c r="A60" s="89" t="str">
        <x:v>src/nvda_desk/schemas/session_clock.py</x:v>
      </x:c>
      <x:c r="B60" s="88" t="str">
        <x:v>source</x:v>
      </x:c>
      <x:c r="C60" s="88" t="str">
        <x:v>schema</x:v>
      </x:c>
      <x:c r="D60" s="88" t="str"/>
      <x:c r="E60" s="88" t="str">
        <x:v>Schema contracts / cross-cutting</x:v>
      </x:c>
      <x:c r="F60" s="88" t="str">
        <x:v>src/nvda_desk/schemas</x:v>
      </x:c>
      <x:c r="G60" s="88" t="str">
        <x:v>session_clock.py</x:v>
      </x:c>
      <x:c r="H60" s="90" t="str">
        <x:v>Session clock</x:v>
      </x:c>
    </x:row>
    <x:row r="61" ht="17.08984375" hidden="0" customHeight="1">
      <x:c r="A61" s="89" t="str">
        <x:v>src/nvda_desk/schemas/slv.py</x:v>
      </x:c>
      <x:c r="B61" s="88" t="str">
        <x:v>source</x:v>
      </x:c>
      <x:c r="C61" s="88" t="str">
        <x:v>schema</x:v>
      </x:c>
      <x:c r="D61" s="88" t="str"/>
      <x:c r="E61" s="88" t="str">
        <x:v>Schema contracts / cross-cutting</x:v>
      </x:c>
      <x:c r="F61" s="88" t="str">
        <x:v>src/nvda_desk/schemas</x:v>
      </x:c>
      <x:c r="G61" s="88" t="str">
        <x:v>slv.py</x:v>
      </x:c>
      <x:c r="H61" s="90" t="str">
        <x:v>Slv</x:v>
      </x:c>
    </x:row>
    <x:row r="62" ht="17.08984375" hidden="0" customHeight="1">
      <x:c r="A62" s="89" t="str">
        <x:v>src/nvda_desk/schemas/state_policy.py</x:v>
      </x:c>
      <x:c r="B62" s="88" t="str">
        <x:v>source</x:v>
      </x:c>
      <x:c r="C62" s="88" t="str">
        <x:v>policy</x:v>
      </x:c>
      <x:c r="D62" s="88" t="n">
        <x:v>4.5</x:v>
      </x:c>
      <x:c r="E62" s="88" t="str">
        <x:v>Stage 4.5 State-policy / modifiers</x:v>
      </x:c>
      <x:c r="F62" s="88" t="str">
        <x:v>src/nvda_desk/schemas</x:v>
      </x:c>
      <x:c r="G62" s="88" t="str">
        <x:v>state_policy.py</x:v>
      </x:c>
      <x:c r="H62" s="90" t="str">
        <x:v>Binding state-policy and non-action authority contracts.</x:v>
      </x:c>
    </x:row>
    <x:row r="63" ht="17.08984375" hidden="0" customHeight="1">
      <x:c r="A63" s="89" t="str">
        <x:v>src/nvda_desk/schemas/temporal_surface.py</x:v>
      </x:c>
      <x:c r="B63" s="88" t="str">
        <x:v>source</x:v>
      </x:c>
      <x:c r="C63" s="88" t="str">
        <x:v>schema</x:v>
      </x:c>
      <x:c r="D63" s="88" t="str"/>
      <x:c r="E63" s="88" t="str">
        <x:v>Schema contracts / cross-cutting</x:v>
      </x:c>
      <x:c r="F63" s="88" t="str">
        <x:v>src/nvda_desk/schemas</x:v>
      </x:c>
      <x:c r="G63" s="88" t="str">
        <x:v>temporal_surface.py</x:v>
      </x:c>
      <x:c r="H63" s="90" t="str">
        <x:v>Temporal surface</x:v>
      </x:c>
    </x:row>
    <x:row r="64" ht="17.08984375" hidden="0" customHeight="1">
      <x:c r="A64" s="89" t="str">
        <x:v>src/nvda_desk/schemas/vocabulary.py</x:v>
      </x:c>
      <x:c r="B64" s="88" t="str">
        <x:v>source</x:v>
      </x:c>
      <x:c r="C64" s="88" t="str">
        <x:v>schema</x:v>
      </x:c>
      <x:c r="D64" s="88" t="str"/>
      <x:c r="E64" s="88" t="str">
        <x:v>Schema contracts / cross-cutting</x:v>
      </x:c>
      <x:c r="F64" s="88" t="str">
        <x:v>src/nvda_desk/schemas</x:v>
      </x:c>
      <x:c r="G64" s="88" t="str">
        <x:v>vocabulary.py</x:v>
      </x:c>
      <x:c r="H64" s="90" t="str">
        <x:v>Canonical vocabulary governance contracts.</x:v>
      </x:c>
    </x:row>
    <x:row r="65" ht="17.08984375" hidden="0" customHeight="1">
      <x:c r="A65" s="89" t="str">
        <x:v>src/nvda_desk/services/__init__.py</x:v>
      </x:c>
      <x:c r="B65" s="88" t="str">
        <x:v>source</x:v>
      </x:c>
      <x:c r="C65" s="88" t="str">
        <x:v>misc</x:v>
      </x:c>
      <x:c r="D65" s="88" t="str"/>
      <x:c r="E65" s="88" t="str">
        <x:v>Cross-cutting / misc</x:v>
      </x:c>
      <x:c r="F65" s="88" t="str">
        <x:v>src/nvda_desk/services</x:v>
      </x:c>
      <x:c r="G65" s="88" t="str">
        <x:v>__init__.py</x:v>
      </x:c>
      <x:c r="H65" s="90" t="str">
        <x:v>  init  </x:v>
      </x:c>
    </x:row>
    <x:row r="66" ht="17.08984375" hidden="0" customHeight="1">
      <x:c r="A66" s="89" t="str">
        <x:v>src/nvda_desk/services/capital_allocator.py</x:v>
      </x:c>
      <x:c r="B66" s="88" t="str">
        <x:v>source</x:v>
      </x:c>
      <x:c r="C66" s="88" t="str">
        <x:v>cognition</x:v>
      </x:c>
      <x:c r="D66" s="88" t="n">
        <x:v>4</x:v>
      </x:c>
      <x:c r="E66" s="88" t="str">
        <x:v>Stage 4 Posture / risk permission</x:v>
      </x:c>
      <x:c r="F66" s="88" t="str">
        <x:v>src/nvda_desk/services</x:v>
      </x:c>
      <x:c r="G66" s="88" t="str">
        <x:v>capital_allocator.py</x:v>
      </x:c>
      <x:c r="H66" s="90" t="str">
        <x:v>Capital allocator</x:v>
      </x:c>
    </x:row>
    <x:row r="67" ht="17.08984375" hidden="0" customHeight="1">
      <x:c r="A67" s="89" t="str">
        <x:v>src/nvda_desk/services/carry_handoff.py</x:v>
      </x:c>
      <x:c r="B67" s="88" t="str">
        <x:v>source</x:v>
      </x:c>
      <x:c r="C67" s="88" t="str">
        <x:v>substrate</x:v>
      </x:c>
      <x:c r="D67" s="88" t="n">
        <x:v>0</x:v>
      </x:c>
      <x:c r="E67" s="88" t="str">
        <x:v>Stage 0 Calendar / event / precursor substrate</x:v>
      </x:c>
      <x:c r="F67" s="88" t="str">
        <x:v>src/nvda_desk/services</x:v>
      </x:c>
      <x:c r="G67" s="88" t="str">
        <x:v>carry_handoff.py</x:v>
      </x:c>
      <x:c r="H67" s="90" t="str">
        <x:v>Typed bridge from intraday runtime outputs into carry-horizon evaluation.</x:v>
      </x:c>
    </x:row>
    <x:row r="68" ht="17.08984375" hidden="0" customHeight="1">
      <x:c r="A68" s="89" t="str">
        <x:v>src/nvda_desk/services/carry_market.py</x:v>
      </x:c>
      <x:c r="B68" s="88" t="str">
        <x:v>source</x:v>
      </x:c>
      <x:c r="C68" s="88" t="str">
        <x:v>substrate</x:v>
      </x:c>
      <x:c r="D68" s="88" t="n">
        <x:v>0</x:v>
      </x:c>
      <x:c r="E68" s="88" t="str">
        <x:v>Stage 0 Calendar / event / precursor substrate</x:v>
      </x:c>
      <x:c r="F68" s="88" t="str">
        <x:v>src/nvda_desk/services</x:v>
      </x:c>
      <x:c r="G68" s="88" t="str">
        <x:v>carry_market.py</x:v>
      </x:c>
      <x:c r="H68" s="90" t="str">
        <x:v>Carry market</x:v>
      </x:c>
    </x:row>
    <x:row r="69" ht="17.08984375" hidden="0" customHeight="1">
      <x:c r="A69" s="89" t="str">
        <x:v>src/nvda_desk/services/carry_replay.py</x:v>
      </x:c>
      <x:c r="B69" s="88" t="str">
        <x:v>source</x:v>
      </x:c>
      <x:c r="C69" s="88" t="str">
        <x:v>review</x:v>
      </x:c>
      <x:c r="D69" s="88" t="n">
        <x:v>7</x:v>
      </x:c>
      <x:c r="E69" s="88" t="str">
        <x:v>Stage 7 Review / replay / promotion</x:v>
      </x:c>
      <x:c r="F69" s="88" t="str">
        <x:v>src/nvda_desk/services</x:v>
      </x:c>
      <x:c r="G69" s="88" t="str">
        <x:v>carry_replay.py</x:v>
      </x:c>
      <x:c r="H69" s="90" t="str">
        <x:v>Carry replay</x:v>
      </x:c>
    </x:row>
    <x:row r="70" ht="17.08984375" hidden="0" customHeight="1">
      <x:c r="A70" s="89" t="str">
        <x:v>src/nvda_desk/services/chain_to_cognition.py</x:v>
      </x:c>
      <x:c r="B70" s="88" t="str">
        <x:v>source</x:v>
      </x:c>
      <x:c r="C70" s="88" t="str">
        <x:v>substrate</x:v>
      </x:c>
      <x:c r="D70" s="88" t="n">
        <x:v>0</x:v>
      </x:c>
      <x:c r="E70" s="88" t="str">
        <x:v>Stage 0 Calendar / event / precursor substrate</x:v>
      </x:c>
      <x:c r="F70" s="88" t="str">
        <x:v>src/nvda_desk/services</x:v>
      </x:c>
      <x:c r="G70" s="88" t="str">
        <x:v>chain_to_cognition.py</x:v>
      </x:c>
      <x:c r="H70" s="90" t="str">
        <x:v>Prepared-runtime to cognition-input conversion service.</x:v>
      </x:c>
    </x:row>
    <x:row r="71" ht="17.08984375" hidden="0" customHeight="1">
      <x:c r="A71" s="89" t="str">
        <x:v>src/nvda_desk/services/cognition_runtime.py</x:v>
      </x:c>
      <x:c r="B71" s="88" t="str">
        <x:v>source</x:v>
      </x:c>
      <x:c r="C71" s="88" t="str">
        <x:v>runtime</x:v>
      </x:c>
      <x:c r="D71" s="88" t="str"/>
      <x:c r="E71" s="88" t="str">
        <x:v>Cross-cutting / cognition orchestrator</x:v>
      </x:c>
      <x:c r="F71" s="88" t="str">
        <x:v>src/nvda_desk/services</x:v>
      </x:c>
      <x:c r="G71" s="88" t="str">
        <x:v>cognition_runtime.py</x:v>
      </x:c>
      <x:c r="H71" s="90" t="str">
        <x:v>Deterministic Desk Cognition Grammar runtime orchestrator.</x:v>
      </x:c>
    </x:row>
    <x:row r="72" ht="17.08984375" hidden="0" customHeight="1">
      <x:c r="A72" s="89" t="str">
        <x:v>src/nvda_desk/services/cognition_runtime_registry.py</x:v>
      </x:c>
      <x:c r="B72" s="88" t="str">
        <x:v>source</x:v>
      </x:c>
      <x:c r="C72" s="88" t="str">
        <x:v>runtime</x:v>
      </x:c>
      <x:c r="D72" s="88" t="str"/>
      <x:c r="E72" s="88" t="str">
        <x:v>Cross-cutting / cognition orchestrator</x:v>
      </x:c>
      <x:c r="F72" s="88" t="str">
        <x:v>src/nvda_desk/services</x:v>
      </x:c>
      <x:c r="G72" s="88" t="str">
        <x:v>cognition_runtime_registry.py</x:v>
      </x:c>
      <x:c r="H72" s="90" t="str">
        <x:v>Runtime registry and contract helpers for the Desk Cognition Grammar.</x:v>
      </x:c>
    </x:row>
    <x:row r="73" ht="17.08984375" hidden="0" customHeight="1">
      <x:c r="A73" s="89" t="str">
        <x:v>src/nvda_desk/services/config_surface.py</x:v>
      </x:c>
      <x:c r="B73" s="88" t="str">
        <x:v>source</x:v>
      </x:c>
      <x:c r="C73" s="88" t="str">
        <x:v>config</x:v>
      </x:c>
      <x:c r="D73" s="88" t="str"/>
      <x:c r="E73" s="88" t="str">
        <x:v>Cross-cutting / config &amp; registries</x:v>
      </x:c>
      <x:c r="F73" s="88" t="str">
        <x:v>src/nvda_desk/services</x:v>
      </x:c>
      <x:c r="G73" s="88" t="str">
        <x:v>config_surface.py</x:v>
      </x:c>
      <x:c r="H73" s="90" t="str">
        <x:v>Config surface</x:v>
      </x:c>
    </x:row>
    <x:row r="74" ht="17.08984375" hidden="0" customHeight="1">
      <x:c r="A74" s="89" t="str">
        <x:v>src/nvda_desk/services/evaluation_log.py</x:v>
      </x:c>
      <x:c r="B74" s="88" t="str">
        <x:v>source</x:v>
      </x:c>
      <x:c r="C74" s="88" t="str">
        <x:v>review</x:v>
      </x:c>
      <x:c r="D74" s="88" t="n">
        <x:v>7</x:v>
      </x:c>
      <x:c r="E74" s="88" t="str">
        <x:v>Stage 7 Review / replay / promotion</x:v>
      </x:c>
      <x:c r="F74" s="88" t="str">
        <x:v>src/nvda_desk/services</x:v>
      </x:c>
      <x:c r="G74" s="88" t="str">
        <x:v>evaluation_log.py</x:v>
      </x:c>
      <x:c r="H74" s="90" t="str">
        <x:v>Evaluation log</x:v>
      </x:c>
    </x:row>
    <x:row r="75" ht="17.08984375" hidden="0" customHeight="1">
      <x:c r="A75" s="89" t="str">
        <x:v>src/nvda_desk/services/event_ingestion.py</x:v>
      </x:c>
      <x:c r="B75" s="88" t="str">
        <x:v>source</x:v>
      </x:c>
      <x:c r="C75" s="88" t="str">
        <x:v>substrate</x:v>
      </x:c>
      <x:c r="D75" s="88" t="n">
        <x:v>0</x:v>
      </x:c>
      <x:c r="E75" s="88" t="str">
        <x:v>Stage 0 Calendar / event / precursor substrate</x:v>
      </x:c>
      <x:c r="F75" s="88" t="str">
        <x:v>src/nvda_desk/services</x:v>
      </x:c>
      <x:c r="G75" s="88" t="str">
        <x:v>event_ingestion.py</x:v>
      </x:c>
      <x:c r="H75" s="90" t="str">
        <x:v>Event ingestion</x:v>
      </x:c>
    </x:row>
    <x:row r="76" ht="17.08984375" hidden="0" customHeight="1">
      <x:c r="A76" s="89" t="str">
        <x:v>src/nvda_desk/services/event_store.py</x:v>
      </x:c>
      <x:c r="B76" s="88" t="str">
        <x:v>source</x:v>
      </x:c>
      <x:c r="C76" s="88" t="str">
        <x:v>substrate</x:v>
      </x:c>
      <x:c r="D76" s="88" t="n">
        <x:v>0</x:v>
      </x:c>
      <x:c r="E76" s="88" t="str">
        <x:v>Stage 0 Calendar / event / precursor substrate</x:v>
      </x:c>
      <x:c r="F76" s="88" t="str">
        <x:v>src/nvda_desk/services</x:v>
      </x:c>
      <x:c r="G76" s="88" t="str">
        <x:v>event_store.py</x:v>
      </x:c>
      <x:c r="H76" s="90" t="str">
        <x:v>Event store</x:v>
      </x:c>
    </x:row>
    <x:row r="77" ht="17.08984375" hidden="0" customHeight="1">
      <x:c r="A77" s="89" t="str">
        <x:v>src/nvda_desk/services/events.py</x:v>
      </x:c>
      <x:c r="B77" s="88" t="str">
        <x:v>source</x:v>
      </x:c>
      <x:c r="C77" s="88" t="str">
        <x:v>substrate</x:v>
      </x:c>
      <x:c r="D77" s="88" t="n">
        <x:v>0</x:v>
      </x:c>
      <x:c r="E77" s="88" t="str">
        <x:v>Stage 0 Calendar / event / precursor substrate</x:v>
      </x:c>
      <x:c r="F77" s="88" t="str">
        <x:v>src/nvda_desk/services</x:v>
      </x:c>
      <x:c r="G77" s="88" t="str">
        <x:v>events.py</x:v>
      </x:c>
      <x:c r="H77" s="90" t="str">
        <x:v>Events</x:v>
      </x:c>
    </x:row>
    <x:row r="78" ht="17.08984375" hidden="0" customHeight="1">
      <x:c r="A78" s="89" t="str">
        <x:v>src/nvda_desk/services/execution_expression.py</x:v>
      </x:c>
      <x:c r="B78" s="88" t="str">
        <x:v>source</x:v>
      </x:c>
      <x:c r="C78" s="88" t="str">
        <x:v>cognition</x:v>
      </x:c>
      <x:c r="D78" s="88" t="n">
        <x:v>6</x:v>
      </x:c>
      <x:c r="E78" s="88" t="str">
        <x:v>Stage 6 Expression / execution</x:v>
      </x:c>
      <x:c r="F78" s="88" t="str">
        <x:v>src/nvda_desk/services</x:v>
      </x:c>
      <x:c r="G78" s="88" t="str">
        <x:v>execution_expression.py</x:v>
      </x:c>
      <x:c r="H78" s="90" t="str">
        <x:v>Expression and execution service for the Desk Cognition Grammar.</x:v>
      </x:c>
    </x:row>
    <x:row r="79" ht="17.08984375" hidden="0" customHeight="1">
      <x:c r="A79" s="89" t="str">
        <x:v>src/nvda_desk/services/execution_records.py</x:v>
      </x:c>
      <x:c r="B79" s="88" t="str">
        <x:v>source</x:v>
      </x:c>
      <x:c r="C79" s="88" t="str">
        <x:v>cognition</x:v>
      </x:c>
      <x:c r="D79" s="88" t="n">
        <x:v>6</x:v>
      </x:c>
      <x:c r="E79" s="88" t="str">
        <x:v>Stage 6 Expression / execution</x:v>
      </x:c>
      <x:c r="F79" s="88" t="str">
        <x:v>src/nvda_desk/services</x:v>
      </x:c>
      <x:c r="G79" s="88" t="str">
        <x:v>execution_records.py</x:v>
      </x:c>
      <x:c r="H79" s="90" t="str">
        <x:v>Execution records</x:v>
      </x:c>
    </x:row>
    <x:row r="80" ht="17.08984375" hidden="0" customHeight="1">
      <x:c r="A80" s="89" t="str">
        <x:v>src/nvda_desk/services/experiment_log.py</x:v>
      </x:c>
      <x:c r="B80" s="88" t="str">
        <x:v>source</x:v>
      </x:c>
      <x:c r="C80" s="88" t="str">
        <x:v>review</x:v>
      </x:c>
      <x:c r="D80" s="88" t="n">
        <x:v>7</x:v>
      </x:c>
      <x:c r="E80" s="88" t="str">
        <x:v>Stage 7 Review / replay / promotion</x:v>
      </x:c>
      <x:c r="F80" s="88" t="str">
        <x:v>src/nvda_desk/services</x:v>
      </x:c>
      <x:c r="G80" s="88" t="str">
        <x:v>experiment_log.py</x:v>
      </x:c>
      <x:c r="H80" s="90" t="str">
        <x:v>Experiment log</x:v>
      </x:c>
    </x:row>
    <x:row r="81" ht="17.08984375" hidden="0" customHeight="1">
      <x:c r="A81" s="89" t="str">
        <x:v>src/nvda_desk/services/external_boundaries.py</x:v>
      </x:c>
      <x:c r="B81" s="88" t="str">
        <x:v>source</x:v>
      </x:c>
      <x:c r="C81" s="88" t="str">
        <x:v>substrate</x:v>
      </x:c>
      <x:c r="D81" s="88" t="n">
        <x:v>0</x:v>
      </x:c>
      <x:c r="E81" s="88" t="str">
        <x:v>Stage 0 Calendar / event / precursor substrate</x:v>
      </x:c>
      <x:c r="F81" s="88" t="str">
        <x:v>src/nvda_desk/services</x:v>
      </x:c>
      <x:c r="G81" s="88" t="str">
        <x:v>external_boundaries.py</x:v>
      </x:c>
      <x:c r="H81" s="90" t="str">
        <x:v>External boundaries</x:v>
      </x:c>
    </x:row>
    <x:row r="82" ht="17.08984375" hidden="0" customHeight="1">
      <x:c r="A82" s="89" t="str">
        <x:v>src/nvda_desk/services/import_registry.py</x:v>
      </x:c>
      <x:c r="B82" s="88" t="str">
        <x:v>source</x:v>
      </x:c>
      <x:c r="C82" s="88" t="str">
        <x:v>config</x:v>
      </x:c>
      <x:c r="D82" s="88" t="str"/>
      <x:c r="E82" s="88" t="str">
        <x:v>Cross-cutting / config &amp; registries</x:v>
      </x:c>
      <x:c r="F82" s="88" t="str">
        <x:v>src/nvda_desk/services</x:v>
      </x:c>
      <x:c r="G82" s="88" t="str">
        <x:v>import_registry.py</x:v>
      </x:c>
      <x:c r="H82" s="90" t="str">
        <x:v>Canonical import-registry loading, enrichment, and reporting helpers.</x:v>
      </x:c>
    </x:row>
    <x:row r="83" ht="17.08984375" hidden="0" customHeight="1">
      <x:c r="A83" s="89" t="str">
        <x:v>src/nvda_desk/services/imported_modules/__init__.py</x:v>
      </x:c>
      <x:c r="B83" s="88" t="str">
        <x:v>source</x:v>
      </x:c>
      <x:c r="C83" s="88" t="str">
        <x:v>imported_module</x:v>
      </x:c>
      <x:c r="D83" s="88" t="str"/>
      <x:c r="E83" s="88" t="str">
        <x:v>Imported modules / cross-cutting</x:v>
      </x:c>
      <x:c r="F83" s="88" t="str">
        <x:v>src/nvda_desk/services/imported_modules</x:v>
      </x:c>
      <x:c r="G83" s="88" t="str">
        <x:v>__init__.py</x:v>
      </x:c>
      <x:c r="H83" s="90" t="str">
        <x:v>Imported-module services.</x:v>
      </x:c>
    </x:row>
    <x:row r="84" ht="17.08984375" hidden="0" customHeight="1">
      <x:c r="A84" s="89" t="str">
        <x:v>src/nvda_desk/services/imported_modules/context_scanners.py</x:v>
      </x:c>
      <x:c r="B84" s="88" t="str">
        <x:v>source</x:v>
      </x:c>
      <x:c r="C84" s="88" t="str">
        <x:v>imported_module</x:v>
      </x:c>
      <x:c r="D84" s="88" t="str"/>
      <x:c r="E84" s="88" t="str">
        <x:v>Imported modules / state diagnosis</x:v>
      </x:c>
      <x:c r="F84" s="88" t="str">
        <x:v>src/nvda_desk/services/imported_modules</x:v>
      </x:c>
      <x:c r="G84" s="88" t="str">
        <x:v>context_scanners.py</x:v>
      </x:c>
      <x:c r="H84" s="90" t="str">
        <x:v>Gate 19 context and scanner contract services.</x:v>
      </x:c>
    </x:row>
    <x:row r="85" ht="17.08984375" hidden="0" customHeight="1">
      <x:c r="A85" s="89" t="str">
        <x:v>src/nvda_desk/services/imported_modules/execution_lifecycle.py</x:v>
      </x:c>
      <x:c r="B85" s="88" t="str">
        <x:v>source</x:v>
      </x:c>
      <x:c r="C85" s="88" t="str">
        <x:v>imported_module</x:v>
      </x:c>
      <x:c r="D85" s="88" t="str"/>
      <x:c r="E85" s="88" t="str">
        <x:v>Imported modules / execution</x:v>
      </x:c>
      <x:c r="F85" s="88" t="str">
        <x:v>src/nvda_desk/services/imported_modules</x:v>
      </x:c>
      <x:c r="G85" s="88" t="str">
        <x:v>execution_lifecycle.py</x:v>
      </x:c>
      <x:c r="H85" s="90" t="str">
        <x:v>Gate 22 execution-state, exit, and lifecycle contract services.</x:v>
      </x:c>
    </x:row>
    <x:row r="86" ht="17.08984375" hidden="0" customHeight="1">
      <x:c r="A86" s="89" t="str">
        <x:v>src/nvda_desk/services/imported_modules/execution_planning.py</x:v>
      </x:c>
      <x:c r="B86" s="88" t="str">
        <x:v>source</x:v>
      </x:c>
      <x:c r="C86" s="88" t="str">
        <x:v>imported_module</x:v>
      </x:c>
      <x:c r="D86" s="88" t="str"/>
      <x:c r="E86" s="88" t="str">
        <x:v>Imported modules / execution</x:v>
      </x:c>
      <x:c r="F86" s="88" t="str">
        <x:v>src/nvda_desk/services/imported_modules</x:v>
      </x:c>
      <x:c r="G86" s="88" t="str">
        <x:v>execution_planning.py</x:v>
      </x:c>
      <x:c r="H86" s="90" t="str">
        <x:v>Gate 21 execution-planning and broker-abstraction contract services.</x:v>
      </x:c>
    </x:row>
    <x:row r="87" ht="17.08984375" hidden="0" customHeight="1">
      <x:c r="A87" s="89" t="str">
        <x:v>src/nvda_desk/services/imported_modules/ladder_readiness_overlays.py</x:v>
      </x:c>
      <x:c r="B87" s="88" t="str">
        <x:v>source</x:v>
      </x:c>
      <x:c r="C87" s="88" t="str">
        <x:v>imported_module</x:v>
      </x:c>
      <x:c r="D87" s="88" t="str"/>
      <x:c r="E87" s="88" t="str">
        <x:v>Imported modules / execution</x:v>
      </x:c>
      <x:c r="F87" s="88" t="str">
        <x:v>src/nvda_desk/services/imported_modules</x:v>
      </x:c>
      <x:c r="G87" s="88" t="str">
        <x:v>ladder_readiness_overlays.py</x:v>
      </x:c>
      <x:c r="H87" s="90" t="str">
        <x:v>Gate 33 ladder-readiness overlay contract services.</x:v>
      </x:c>
    </x:row>
    <x:row r="88" ht="17.08984375" hidden="0" customHeight="1">
      <x:c r="A88" s="89" t="str">
        <x:v>src/nvda_desk/services/imported_modules/market_context_synthesis.py</x:v>
      </x:c>
      <x:c r="B88" s="88" t="str">
        <x:v>source</x:v>
      </x:c>
      <x:c r="C88" s="88" t="str">
        <x:v>imported_module</x:v>
      </x:c>
      <x:c r="D88" s="88" t="str"/>
      <x:c r="E88" s="88" t="str">
        <x:v>Imported modules / state diagnosis</x:v>
      </x:c>
      <x:c r="F88" s="88" t="str">
        <x:v>src/nvda_desk/services/imported_modules</x:v>
      </x:c>
      <x:c r="G88" s="88" t="str">
        <x:v>market_context_synthesis.py</x:v>
      </x:c>
      <x:c r="H88" s="90" t="str">
        <x:v>Gate 29 market-context synthesis contract services.</x:v>
      </x:c>
    </x:row>
    <x:row r="89" ht="17.08984375" hidden="0" customHeight="1">
      <x:c r="A89" s="89" t="str">
        <x:v>src/nvda_desk/services/imported_modules/market_substrate.py</x:v>
      </x:c>
      <x:c r="B89" s="88" t="str">
        <x:v>source</x:v>
      </x:c>
      <x:c r="C89" s="88" t="str">
        <x:v>imported_module</x:v>
      </x:c>
      <x:c r="D89" s="88" t="str"/>
      <x:c r="E89" s="88" t="str">
        <x:v>Imported modules / state diagnosis</x:v>
      </x:c>
      <x:c r="F89" s="88" t="str">
        <x:v>src/nvda_desk/services/imported_modules</x:v>
      </x:c>
      <x:c r="G89" s="88" t="str">
        <x:v>market_substrate.py</x:v>
      </x:c>
      <x:c r="H89" s="90" t="str">
        <x:v>Gate 18 shared market-data substrate contract services.</x:v>
      </x:c>
    </x:row>
    <x:row r="90" ht="17.08984375" hidden="0" customHeight="1">
      <x:c r="A90" s="89" t="str">
        <x:v>src/nvda_desk/services/imported_modules/posture_enrichers.py</x:v>
      </x:c>
      <x:c r="B90" s="88" t="str">
        <x:v>source</x:v>
      </x:c>
      <x:c r="C90" s="88" t="str">
        <x:v>imported_module</x:v>
      </x:c>
      <x:c r="D90" s="88" t="str"/>
      <x:c r="E90" s="88" t="str">
        <x:v>Imported modules / posture</x:v>
      </x:c>
      <x:c r="F90" s="88" t="str">
        <x:v>src/nvda_desk/services/imported_modules</x:v>
      </x:c>
      <x:c r="G90" s="88" t="str">
        <x:v>posture_enrichers.py</x:v>
      </x:c>
      <x:c r="H90" s="90" t="str">
        <x:v>Gate 20 posture and eligibility enricher contract services.</x:v>
      </x:c>
    </x:row>
    <x:row r="91" ht="17.08984375" hidden="0" customHeight="1">
      <x:c r="A91" s="89" t="str">
        <x:v>src/nvda_desk/services/imported_modules/review_attribution.py</x:v>
      </x:c>
      <x:c r="B91" s="88" t="str">
        <x:v>source</x:v>
      </x:c>
      <x:c r="C91" s="88" t="str">
        <x:v>imported_module</x:v>
      </x:c>
      <x:c r="D91" s="88" t="str"/>
      <x:c r="E91" s="88" t="str">
        <x:v>Imported modules / review</x:v>
      </x:c>
      <x:c r="F91" s="88" t="str">
        <x:v>src/nvda_desk/services/imported_modules</x:v>
      </x:c>
      <x:c r="G91" s="88" t="str">
        <x:v>review_attribution.py</x:v>
      </x:c>
      <x:c r="H91" s="90" t="str">
        <x:v>Gate 23 review, P&amp;L, attribution, and variant-tracking contract services.</x:v>
      </x:c>
    </x:row>
    <x:row r="92" ht="17.08984375" hidden="0" customHeight="1">
      <x:c r="A92" s="89" t="str">
        <x:v>src/nvda_desk/services/imported_modules/tranche_a.py</x:v>
      </x:c>
      <x:c r="B92" s="88" t="str">
        <x:v>source</x:v>
      </x:c>
      <x:c r="C92" s="88" t="str">
        <x:v>imported_module</x:v>
      </x:c>
      <x:c r="D92" s="88" t="str"/>
      <x:c r="E92" s="88" t="str">
        <x:v>Imported modules / tranche-A governance</x:v>
      </x:c>
      <x:c r="F92" s="88" t="str">
        <x:v>src/nvda_desk/services/imported_modules</x:v>
      </x:c>
      <x:c r="G92" s="88" t="str">
        <x:v>tranche_a.py</x:v>
      </x:c>
      <x:c r="H92" s="90" t="str">
        <x:v>Tranche-A imported module services.</x:v>
      </x:c>
    </x:row>
    <x:row r="93" ht="17.08984375" hidden="0" customHeight="1">
      <x:c r="A93" s="89" t="str">
        <x:v>src/nvda_desk/services/legacy_extraction.py</x:v>
      </x:c>
      <x:c r="B93" s="88" t="str">
        <x:v>source</x:v>
      </x:c>
      <x:c r="C93" s="88" t="str">
        <x:v>misc</x:v>
      </x:c>
      <x:c r="D93" s="88" t="str"/>
      <x:c r="E93" s="88" t="str">
        <x:v>Cross-cutting / misc</x:v>
      </x:c>
      <x:c r="F93" s="88" t="str">
        <x:v>src/nvda_desk/services</x:v>
      </x:c>
      <x:c r="G93" s="88" t="str">
        <x:v>legacy_extraction.py</x:v>
      </x:c>
      <x:c r="H93" s="90" t="str">
        <x:v>Legacy extraction</x:v>
      </x:c>
    </x:row>
    <x:row r="94" ht="17.08984375" hidden="0" customHeight="1">
      <x:c r="A94" s="89" t="str">
        <x:v>src/nvda_desk/services/market_regime_context.py</x:v>
      </x:c>
      <x:c r="B94" s="88" t="str">
        <x:v>source</x:v>
      </x:c>
      <x:c r="C94" s="88" t="str">
        <x:v>cognition</x:v>
      </x:c>
      <x:c r="D94" s="88" t="n">
        <x:v>2</x:v>
      </x:c>
      <x:c r="E94" s="88" t="str">
        <x:v>Stage 2 Market regime</x:v>
      </x:c>
      <x:c r="F94" s="88" t="str">
        <x:v>src/nvda_desk/services</x:v>
      </x:c>
      <x:c r="G94" s="88" t="str">
        <x:v>market_regime_context.py</x:v>
      </x:c>
      <x:c r="H94" s="90" t="str">
        <x:v>Market-regime classification service for the Desk Cognition Grammar.</x:v>
      </x:c>
    </x:row>
    <x:row r="95" ht="17.08984375" hidden="0" customHeight="1">
      <x:c r="A95" s="89" t="str">
        <x:v>src/nvda_desk/services/market_state.py</x:v>
      </x:c>
      <x:c r="B95" s="88" t="str">
        <x:v>source</x:v>
      </x:c>
      <x:c r="C95" s="88" t="str">
        <x:v>cognition</x:v>
      </x:c>
      <x:c r="D95" s="88" t="n">
        <x:v>2</x:v>
      </x:c>
      <x:c r="E95" s="88" t="str">
        <x:v>Stage 2 Market regime</x:v>
      </x:c>
      <x:c r="F95" s="88" t="str">
        <x:v>src/nvda_desk/services</x:v>
      </x:c>
      <x:c r="G95" s="88" t="str">
        <x:v>market_state.py</x:v>
      </x:c>
      <x:c r="H95" s="90" t="str">
        <x:v>Market state</x:v>
      </x:c>
    </x:row>
    <x:row r="96" ht="17.08984375" hidden="0" customHeight="1">
      <x:c r="A96" s="89" t="str">
        <x:v>src/nvda_desk/services/module_evaluators.py</x:v>
      </x:c>
      <x:c r="B96" s="88" t="str">
        <x:v>source</x:v>
      </x:c>
      <x:c r="C96" s="88" t="str">
        <x:v>review</x:v>
      </x:c>
      <x:c r="D96" s="88" t="n">
        <x:v>7</x:v>
      </x:c>
      <x:c r="E96" s="88" t="str">
        <x:v>Stage 7 Review / replay / promotion</x:v>
      </x:c>
      <x:c r="F96" s="88" t="str">
        <x:v>src/nvda_desk/services</x:v>
      </x:c>
      <x:c r="G96" s="88" t="str">
        <x:v>module_evaluators.py</x:v>
      </x:c>
      <x:c r="H96" s="90" t="str">
        <x:v>Module evaluators</x:v>
      </x:c>
    </x:row>
    <x:row r="97" ht="17.08984375" hidden="0" customHeight="1">
      <x:c r="A97" s="89" t="str">
        <x:v>src/nvda_desk/services/module_registry.py</x:v>
      </x:c>
      <x:c r="B97" s="88" t="str">
        <x:v>source</x:v>
      </x:c>
      <x:c r="C97" s="88" t="str">
        <x:v>cognition</x:v>
      </x:c>
      <x:c r="D97" s="88" t="n">
        <x:v>5</x:v>
      </x:c>
      <x:c r="E97" s="88" t="str">
        <x:v>Stage 5 Playbook eligibility</x:v>
      </x:c>
      <x:c r="F97" s="88" t="str">
        <x:v>src/nvda_desk/services</x:v>
      </x:c>
      <x:c r="G97" s="88" t="str">
        <x:v>module_registry.py</x:v>
      </x:c>
      <x:c r="H97" s="90" t="str">
        <x:v>Module registry</x:v>
      </x:c>
    </x:row>
    <x:row r="98" ht="17.08984375" hidden="0" customHeight="1">
      <x:c r="A98" s="89" t="str">
        <x:v>src/nvda_desk/services/options_flow_context.py</x:v>
      </x:c>
      <x:c r="B98" s="88" t="str">
        <x:v>source</x:v>
      </x:c>
      <x:c r="C98" s="88" t="str">
        <x:v>cognition</x:v>
      </x:c>
      <x:c r="D98" s="88" t="n">
        <x:v>3</x:v>
      </x:c>
      <x:c r="E98" s="88" t="str">
        <x:v>Stage 3 Options / flow</x:v>
      </x:c>
      <x:c r="F98" s="88" t="str">
        <x:v>src/nvda_desk/services</x:v>
      </x:c>
      <x:c r="G98" s="88" t="str">
        <x:v>options_flow_context.py</x:v>
      </x:c>
      <x:c r="H98" s="90" t="str">
        <x:v>Options-and-flow classification service for the Desk Cognition Grammar.</x:v>
      </x:c>
    </x:row>
    <x:row r="99" ht="17.08984375" hidden="0" customHeight="1">
      <x:c r="A99" s="89" t="str">
        <x:v>src/nvda_desk/services/playbook_eligibility.py</x:v>
      </x:c>
      <x:c r="B99" s="88" t="str">
        <x:v>source</x:v>
      </x:c>
      <x:c r="C99" s="88" t="str">
        <x:v>cognition</x:v>
      </x:c>
      <x:c r="D99" s="88" t="n">
        <x:v>5</x:v>
      </x:c>
      <x:c r="E99" s="88" t="str">
        <x:v>Stage 5 Playbook eligibility</x:v>
      </x:c>
      <x:c r="F99" s="88" t="str">
        <x:v>src/nvda_desk/services</x:v>
      </x:c>
      <x:c r="G99" s="88" t="str">
        <x:v>playbook_eligibility.py</x:v>
      </x:c>
      <x:c r="H99" s="90" t="str">
        <x:v>Playbook-eligibility service for the Desk Cognition Grammar.</x:v>
      </x:c>
    </x:row>
    <x:row r="100" ht="17.08984375" hidden="0" customHeight="1">
      <x:c r="A100" s="89" t="str">
        <x:v>src/nvda_desk/services/playbook_registry.py</x:v>
      </x:c>
      <x:c r="B100" s="88" t="str">
        <x:v>source</x:v>
      </x:c>
      <x:c r="C100" s="88" t="str">
        <x:v>cognition</x:v>
      </x:c>
      <x:c r="D100" s="88" t="n">
        <x:v>5</x:v>
      </x:c>
      <x:c r="E100" s="88" t="str">
        <x:v>Stage 5 Playbook eligibility</x:v>
      </x:c>
      <x:c r="F100" s="88" t="str">
        <x:v>src/nvda_desk/services</x:v>
      </x:c>
      <x:c r="G100" s="88" t="str">
        <x:v>playbook_registry.py</x:v>
      </x:c>
      <x:c r="H100" s="90" t="str">
        <x:v>Checked-in playbook registry loading and lookup helpers.</x:v>
      </x:c>
    </x:row>
    <x:row r="101" ht="17.08984375" hidden="0" customHeight="1">
      <x:c r="A101" s="89" t="str">
        <x:v>src/nvda_desk/services/posture_risk.py</x:v>
      </x:c>
      <x:c r="B101" s="88" t="str">
        <x:v>source</x:v>
      </x:c>
      <x:c r="C101" s="88" t="str">
        <x:v>cognition</x:v>
      </x:c>
      <x:c r="D101" s="88" t="n">
        <x:v>4</x:v>
      </x:c>
      <x:c r="E101" s="88" t="str">
        <x:v>Stage 4 Posture / risk permission</x:v>
      </x:c>
      <x:c r="F101" s="88" t="str">
        <x:v>src/nvda_desk/services</x:v>
      </x:c>
      <x:c r="G101" s="88" t="str">
        <x:v>posture_risk.py</x:v>
      </x:c>
      <x:c r="H101" s="90" t="str">
        <x:v>Posture, permission, and deployable-capital governance service.</x:v>
      </x:c>
    </x:row>
    <x:row r="102" ht="17.08984375" hidden="0" customHeight="1">
      <x:c r="A102" s="89" t="str">
        <x:v>src/nvda_desk/services/promotion.py</x:v>
      </x:c>
      <x:c r="B102" s="88" t="str">
        <x:v>source</x:v>
      </x:c>
      <x:c r="C102" s="88" t="str">
        <x:v>review</x:v>
      </x:c>
      <x:c r="D102" s="88" t="n">
        <x:v>7</x:v>
      </x:c>
      <x:c r="E102" s="88" t="str">
        <x:v>Stage 7 Review / replay / promotion</x:v>
      </x:c>
      <x:c r="F102" s="88" t="str">
        <x:v>src/nvda_desk/services</x:v>
      </x:c>
      <x:c r="G102" s="88" t="str">
        <x:v>promotion.py</x:v>
      </x:c>
      <x:c r="H102" s="90" t="str">
        <x:v>Promotion</x:v>
      </x:c>
    </x:row>
    <x:row r="103" ht="17.08984375" hidden="0" customHeight="1">
      <x:c r="A103" s="89" t="str">
        <x:v>src/nvda_desk/services/real_data_loader.py</x:v>
      </x:c>
      <x:c r="B103" s="88" t="str">
        <x:v>source</x:v>
      </x:c>
      <x:c r="C103" s="88" t="str">
        <x:v>substrate</x:v>
      </x:c>
      <x:c r="D103" s="88" t="n">
        <x:v>0</x:v>
      </x:c>
      <x:c r="E103" s="88" t="str">
        <x:v>Stage 0 Calendar / event / precursor substrate</x:v>
      </x:c>
      <x:c r="F103" s="88" t="str">
        <x:v>src/nvda_desk/services</x:v>
      </x:c>
      <x:c r="G103" s="88" t="str">
        <x:v>real_data_loader.py</x:v>
      </x:c>
      <x:c r="H103" s="90" t="str">
        <x:v>Deterministic real-data runtime preparation service.</x:v>
      </x:c>
    </x:row>
    <x:row r="104" ht="17.08984375" hidden="0" customHeight="1">
      <x:c r="A104" s="89" t="str">
        <x:v>src/nvda_desk/services/replay.py</x:v>
      </x:c>
      <x:c r="B104" s="88" t="str">
        <x:v>source</x:v>
      </x:c>
      <x:c r="C104" s="88" t="str">
        <x:v>review</x:v>
      </x:c>
      <x:c r="D104" s="88" t="n">
        <x:v>7</x:v>
      </x:c>
      <x:c r="E104" s="88" t="str">
        <x:v>Stage 7 Review / replay / promotion</x:v>
      </x:c>
      <x:c r="F104" s="88" t="str">
        <x:v>src/nvda_desk/services</x:v>
      </x:c>
      <x:c r="G104" s="88" t="str">
        <x:v>replay.py</x:v>
      </x:c>
      <x:c r="H104" s="90" t="str">
        <x:v>Replay</x:v>
      </x:c>
    </x:row>
    <x:row r="105" ht="17.08984375" hidden="0" customHeight="1">
      <x:c r="A105" s="89" t="str">
        <x:v>src/nvda_desk/services/replay_compare.py</x:v>
      </x:c>
      <x:c r="B105" s="88" t="str">
        <x:v>source</x:v>
      </x:c>
      <x:c r="C105" s="88" t="str">
        <x:v>review</x:v>
      </x:c>
      <x:c r="D105" s="88" t="n">
        <x:v>7</x:v>
      </x:c>
      <x:c r="E105" s="88" t="str">
        <x:v>Stage 7 Review / replay / promotion</x:v>
      </x:c>
      <x:c r="F105" s="88" t="str">
        <x:v>src/nvda_desk/services</x:v>
      </x:c>
      <x:c r="G105" s="88" t="str">
        <x:v>replay_compare.py</x:v>
      </x:c>
      <x:c r="H105" s="90" t="str">
        <x:v>Deterministic replay and stack-comparison harness.</x:v>
      </x:c>
    </x:row>
    <x:row r="106" ht="17.08984375" hidden="0" customHeight="1">
      <x:c r="A106" s="89" t="str">
        <x:v>src/nvda_desk/services/research.py</x:v>
      </x:c>
      <x:c r="B106" s="88" t="str">
        <x:v>source</x:v>
      </x:c>
      <x:c r="C106" s="88" t="str">
        <x:v>review</x:v>
      </x:c>
      <x:c r="D106" s="88" t="n">
        <x:v>7</x:v>
      </x:c>
      <x:c r="E106" s="88" t="str">
        <x:v>Stage 7 Review / replay / promotion</x:v>
      </x:c>
      <x:c r="F106" s="88" t="str">
        <x:v>src/nvda_desk/services</x:v>
      </x:c>
      <x:c r="G106" s="88" t="str">
        <x:v>research.py</x:v>
      </x:c>
      <x:c r="H106" s="90" t="str">
        <x:v>Research</x:v>
      </x:c>
    </x:row>
    <x:row r="107" ht="17.08984375" hidden="0" customHeight="1">
      <x:c r="A107" s="89" t="str">
        <x:v>src/nvda_desk/services/review_explanation.py</x:v>
      </x:c>
      <x:c r="B107" s="88" t="str">
        <x:v>source</x:v>
      </x:c>
      <x:c r="C107" s="88" t="str">
        <x:v>review</x:v>
      </x:c>
      <x:c r="D107" s="88" t="n">
        <x:v>7</x:v>
      </x:c>
      <x:c r="E107" s="88" t="str">
        <x:v>Stage 7 Review / replay / promotion</x:v>
      </x:c>
      <x:c r="F107" s="88" t="str">
        <x:v>src/nvda_desk/services</x:v>
      </x:c>
      <x:c r="G107" s="88" t="str">
        <x:v>review_explanation.py</x:v>
      </x:c>
      <x:c r="H107" s="90" t="str">
        <x:v>Review and explanation service for the Desk Cognition Grammar.</x:v>
      </x:c>
    </x:row>
    <x:row r="108" ht="17.08984375" hidden="0" customHeight="1">
      <x:c r="A108" s="89" t="str">
        <x:v>src/nvda_desk/services/review_packets.py</x:v>
      </x:c>
      <x:c r="B108" s="88" t="str">
        <x:v>source</x:v>
      </x:c>
      <x:c r="C108" s="88" t="str">
        <x:v>review</x:v>
      </x:c>
      <x:c r="D108" s="88" t="n">
        <x:v>7</x:v>
      </x:c>
      <x:c r="E108" s="88" t="str">
        <x:v>Stage 7 Review / replay / promotion</x:v>
      </x:c>
      <x:c r="F108" s="88" t="str">
        <x:v>src/nvda_desk/services</x:v>
      </x:c>
      <x:c r="G108" s="88" t="str">
        <x:v>review_packets.py</x:v>
      </x:c>
      <x:c r="H108" s="90" t="str">
        <x:v>Review packets</x:v>
      </x:c>
    </x:row>
    <x:row r="109" ht="17.08984375" hidden="0" customHeight="1">
      <x:c r="A109" s="89" t="str">
        <x:v>src/nvda_desk/services/risk_gateway.py</x:v>
      </x:c>
      <x:c r="B109" s="88" t="str">
        <x:v>source</x:v>
      </x:c>
      <x:c r="C109" s="88" t="str">
        <x:v>cognition</x:v>
      </x:c>
      <x:c r="D109" s="88" t="n">
        <x:v>4</x:v>
      </x:c>
      <x:c r="E109" s="88" t="str">
        <x:v>Stage 4 Posture / risk permission</x:v>
      </x:c>
      <x:c r="F109" s="88" t="str">
        <x:v>src/nvda_desk/services</x:v>
      </x:c>
      <x:c r="G109" s="88" t="str">
        <x:v>risk_gateway.py</x:v>
      </x:c>
      <x:c r="H109" s="90" t="str">
        <x:v>Risk gateway</x:v>
      </x:c>
    </x:row>
    <x:row r="110" ht="17.08984375" hidden="0" customHeight="1">
      <x:c r="A110" s="89" t="str">
        <x:v>src/nvda_desk/services/slv_experiments.py</x:v>
      </x:c>
      <x:c r="B110" s="88" t="str">
        <x:v>source</x:v>
      </x:c>
      <x:c r="C110" s="88" t="str">
        <x:v>misc</x:v>
      </x:c>
      <x:c r="D110" s="88" t="str"/>
      <x:c r="E110" s="88" t="str">
        <x:v>Cross-cutting / misc</x:v>
      </x:c>
      <x:c r="F110" s="88" t="str">
        <x:v>src/nvda_desk/services</x:v>
      </x:c>
      <x:c r="G110" s="88" t="str">
        <x:v>slv_experiments.py</x:v>
      </x:c>
      <x:c r="H110" s="90" t="str">
        <x:v>Slv experiments</x:v>
      </x:c>
    </x:row>
    <x:row r="111" ht="17.08984375" hidden="0" customHeight="1">
      <x:c r="A111" s="89" t="str">
        <x:v>src/nvda_desk/services/slv_market.py</x:v>
      </x:c>
      <x:c r="B111" s="88" t="str">
        <x:v>source</x:v>
      </x:c>
      <x:c r="C111" s="88" t="str">
        <x:v>misc</x:v>
      </x:c>
      <x:c r="D111" s="88" t="str"/>
      <x:c r="E111" s="88" t="str">
        <x:v>Cross-cutting / misc</x:v>
      </x:c>
      <x:c r="F111" s="88" t="str">
        <x:v>src/nvda_desk/services</x:v>
      </x:c>
      <x:c r="G111" s="88" t="str">
        <x:v>slv_market.py</x:v>
      </x:c>
      <x:c r="H111" s="90" t="str">
        <x:v>Slv market</x:v>
      </x:c>
    </x:row>
    <x:row r="112" ht="17.08984375" hidden="0" customHeight="1">
      <x:c r="A112" s="89" t="str">
        <x:v>src/nvda_desk/services/slv_replay.py</x:v>
      </x:c>
      <x:c r="B112" s="88" t="str">
        <x:v>source</x:v>
      </x:c>
      <x:c r="C112" s="88" t="str">
        <x:v>review</x:v>
      </x:c>
      <x:c r="D112" s="88" t="n">
        <x:v>7</x:v>
      </x:c>
      <x:c r="E112" s="88" t="str">
        <x:v>Stage 7 Review / replay / promotion</x:v>
      </x:c>
      <x:c r="F112" s="88" t="str">
        <x:v>src/nvda_desk/services</x:v>
      </x:c>
      <x:c r="G112" s="88" t="str">
        <x:v>slv_replay.py</x:v>
      </x:c>
      <x:c r="H112" s="90" t="str">
        <x:v>Slv replay</x:v>
      </x:c>
    </x:row>
    <x:row r="113" ht="17.08984375" hidden="0" customHeight="1">
      <x:c r="A113" s="89" t="str">
        <x:v>src/nvda_desk/services/state_conditioned_modifier.py</x:v>
      </x:c>
      <x:c r="B113" s="88" t="str">
        <x:v>source</x:v>
      </x:c>
      <x:c r="C113" s="88" t="str">
        <x:v>policy</x:v>
      </x:c>
      <x:c r="D113" s="88" t="n">
        <x:v>4.5</x:v>
      </x:c>
      <x:c r="E113" s="88" t="str">
        <x:v>Stage 4.5 State-policy / modifiers</x:v>
      </x:c>
      <x:c r="F113" s="88" t="str">
        <x:v>src/nvda_desk/services</x:v>
      </x:c>
      <x:c r="G113" s="88" t="str">
        <x:v>state_conditioned_modifier.py</x:v>
      </x:c>
      <x:c r="H113" s="90" t="str">
        <x:v>Deterministic Gate 78 runtime integration for state-conditioned modifiers.</x:v>
      </x:c>
    </x:row>
    <x:row r="114" ht="17.08984375" hidden="0" customHeight="1">
      <x:c r="A114" s="89" t="str">
        <x:v>src/nvda_desk/services/temporal_context.py</x:v>
      </x:c>
      <x:c r="B114" s="88" t="str">
        <x:v>source</x:v>
      </x:c>
      <x:c r="C114" s="88" t="str">
        <x:v>cognition</x:v>
      </x:c>
      <x:c r="D114" s="88" t="n">
        <x:v>1</x:v>
      </x:c>
      <x:c r="E114" s="88" t="str">
        <x:v>Stage 1 Temporal context</x:v>
      </x:c>
      <x:c r="F114" s="88" t="str">
        <x:v>src/nvda_desk/services</x:v>
      </x:c>
      <x:c r="G114" s="88" t="str">
        <x:v>temporal_context.py</x:v>
      </x:c>
      <x:c r="H114" s="90" t="str">
        <x:v>Temporal-context service for the Desk Cognition Grammar.</x:v>
      </x:c>
    </x:row>
    <x:row r="115" ht="17.08984375" hidden="0" customHeight="1">
      <x:c r="A115" s="89" t="str">
        <x:v>src/nvda_desk/testing/__init__.py</x:v>
      </x:c>
      <x:c r="B115" s="88" t="str">
        <x:v>source</x:v>
      </x:c>
      <x:c r="C115" s="88" t="str">
        <x:v>test_support</x:v>
      </x:c>
      <x:c r="D115" s="88" t="str"/>
      <x:c r="E115" s="88" t="str">
        <x:v>Test support / fixtures</x:v>
      </x:c>
      <x:c r="F115" s="88" t="str">
        <x:v>src/nvda_desk/testing</x:v>
      </x:c>
      <x:c r="G115" s="88" t="str">
        <x:v>__init__.py</x:v>
      </x:c>
      <x:c r="H115" s="90" t="str">
        <x:v>Deterministic testing helpers for the NVDA desk runtime.</x:v>
      </x:c>
    </x:row>
    <x:row r="116" ht="17.08984375" hidden="0" customHeight="1">
      <x:c r="A116" s="89" t="str">
        <x:v>src/nvda_desk/testing/cognition_fixtures.py</x:v>
      </x:c>
      <x:c r="B116" s="88" t="str">
        <x:v>source</x:v>
      </x:c>
      <x:c r="C116" s="88" t="str">
        <x:v>test_support</x:v>
      </x:c>
      <x:c r="D116" s="88" t="str"/>
      <x:c r="E116" s="88" t="str">
        <x:v>Test support / fixtures</x:v>
      </x:c>
      <x:c r="F116" s="88" t="str">
        <x:v>src/nvda_desk/testing</x:v>
      </x:c>
      <x:c r="G116" s="88" t="str">
        <x:v>cognition_fixtures.py</x:v>
      </x:c>
      <x:c r="H116" s="90" t="str">
        <x:v>Deterministic fixture contracts for cognition-runtime tests.</x:v>
      </x:c>
    </x:row>
    <x:row r="117" ht="17.08984375" hidden="0" customHeight="1">
      <x:c r="A117" s="89" t="str">
        <x:v>tests/__init__.py</x:v>
      </x:c>
      <x:c r="B117" s="88" t="str">
        <x:v>test</x:v>
      </x:c>
      <x:c r="C117" s="88" t="str">
        <x:v>tests</x:v>
      </x:c>
      <x:c r="D117" s="88" t="str"/>
      <x:c r="E117" s="88" t="str">
        <x:v>Test / support</x:v>
      </x:c>
      <x:c r="F117" s="88" t="str">
        <x:v>tests</x:v>
      </x:c>
      <x:c r="G117" s="88" t="str">
        <x:v>__init__.py</x:v>
      </x:c>
      <x:c r="H117" s="90" t="str">
        <x:v>  init  </x:v>
      </x:c>
    </x:row>
    <x:row r="118" ht="17.08984375" hidden="0" customHeight="1">
      <x:c r="A118" s="89" t="str">
        <x:v>tests/_successor_pack_helpers.py</x:v>
      </x:c>
      <x:c r="B118" s="88" t="str">
        <x:v>test</x:v>
      </x:c>
      <x:c r="C118" s="88" t="str">
        <x:v>tests</x:v>
      </x:c>
      <x:c r="D118" s="88" t="str"/>
      <x:c r="E118" s="88" t="str">
        <x:v>Test / support</x:v>
      </x:c>
      <x:c r="F118" s="88" t="str">
        <x:v>tests</x:v>
      </x:c>
      <x:c r="G118" s="88" t="str">
        <x:v>_successor_pack_helpers.py</x:v>
      </x:c>
      <x:c r="H118" s="90" t="str">
        <x:v> successor pack helpers</x:v>
      </x:c>
    </x:row>
    <x:row r="119" ht="17.08984375" hidden="0" customHeight="1">
      <x:c r="A119" s="89" t="str">
        <x:v>tests/contract_chain_fixtures.py</x:v>
      </x:c>
      <x:c r="B119" s="88" t="str">
        <x:v>test</x:v>
      </x:c>
      <x:c r="C119" s="88" t="str">
        <x:v>tests</x:v>
      </x:c>
      <x:c r="D119" s="88" t="str"/>
      <x:c r="E119" s="88" t="str">
        <x:v>Test / support</x:v>
      </x:c>
      <x:c r="F119" s="88" t="str">
        <x:v>tests</x:v>
      </x:c>
      <x:c r="G119" s="88" t="str">
        <x:v>contract_chain_fixtures.py</x:v>
      </x:c>
      <x:c r="H119" s="90" t="str">
        <x:v>Helpers for building deterministic Gate-21 to Gate-23 contract contexts.</x:v>
      </x:c>
    </x:row>
    <x:row r="120" ht="17.08984375" hidden="0" customHeight="1">
      <x:c r="A120" s="89" t="str">
        <x:v>tests/test_api.py</x:v>
      </x:c>
      <x:c r="B120" s="88" t="str">
        <x:v>test</x:v>
      </x:c>
      <x:c r="C120" s="88" t="str">
        <x:v>tests</x:v>
      </x:c>
      <x:c r="D120" s="88" t="str"/>
      <x:c r="E120" s="88" t="str">
        <x:v>Test / support</x:v>
      </x:c>
      <x:c r="F120" s="88" t="str">
        <x:v>tests</x:v>
      </x:c>
      <x:c r="G120" s="88" t="str">
        <x:v>test_api.py</x:v>
      </x:c>
      <x:c r="H120" s="90" t="str">
        <x:v>Test api</x:v>
      </x:c>
    </x:row>
    <x:row r="121" ht="17.08984375" hidden="0" customHeight="1">
      <x:c r="A121" s="89" t="str">
        <x:v>tests/test_boundaries_and_config_surface.py</x:v>
      </x:c>
      <x:c r="B121" s="88" t="str">
        <x:v>test</x:v>
      </x:c>
      <x:c r="C121" s="88" t="str">
        <x:v>tests</x:v>
      </x:c>
      <x:c r="D121" s="88" t="str"/>
      <x:c r="E121" s="88" t="str">
        <x:v>Test / support</x:v>
      </x:c>
      <x:c r="F121" s="88" t="str">
        <x:v>tests</x:v>
      </x:c>
      <x:c r="G121" s="88" t="str">
        <x:v>test_boundaries_and_config_surface.py</x:v>
      </x:c>
      <x:c r="H121" s="90" t="str">
        <x:v>Test boundaries and config surface</x:v>
      </x:c>
    </x:row>
    <x:row r="122" ht="17.08984375" hidden="0" customHeight="1">
      <x:c r="A122" s="89" t="str">
        <x:v>tests/test_carry_review_cli_and_legacy.py</x:v>
      </x:c>
      <x:c r="B122" s="88" t="str">
        <x:v>test</x:v>
      </x:c>
      <x:c r="C122" s="88" t="str">
        <x:v>tests</x:v>
      </x:c>
      <x:c r="D122" s="88" t="str"/>
      <x:c r="E122" s="88" t="str">
        <x:v>Review / replay tests</x:v>
      </x:c>
      <x:c r="F122" s="88" t="str">
        <x:v>tests</x:v>
      </x:c>
      <x:c r="G122" s="88" t="str">
        <x:v>test_carry_review_cli_and_legacy.py</x:v>
      </x:c>
      <x:c r="H122" s="90" t="str">
        <x:v>Test carry review cli and legacy</x:v>
      </x:c>
    </x:row>
    <x:row r="123" ht="17.08984375" hidden="0" customHeight="1">
      <x:c r="A123" s="89" t="str">
        <x:v>tests/test_context_scanner_contracts.py</x:v>
      </x:c>
      <x:c r="B123" s="88" t="str">
        <x:v>test</x:v>
      </x:c>
      <x:c r="C123" s="88" t="str">
        <x:v>tests</x:v>
      </x:c>
      <x:c r="D123" s="88" t="str"/>
      <x:c r="E123" s="88" t="str">
        <x:v>Test / support</x:v>
      </x:c>
      <x:c r="F123" s="88" t="str">
        <x:v>tests</x:v>
      </x:c>
      <x:c r="G123" s="88" t="str">
        <x:v>test_context_scanner_contracts.py</x:v>
      </x:c>
      <x:c r="H123" s="90" t="str">
        <x:v>Gate 19 tests for context and scanner contracts.</x:v>
      </x:c>
    </x:row>
    <x:row r="124" ht="17.08984375" hidden="0" customHeight="1">
      <x:c r="A124" s="89" t="str">
        <x:v>tests/test_db_seed.py</x:v>
      </x:c>
      <x:c r="B124" s="88" t="str">
        <x:v>test</x:v>
      </x:c>
      <x:c r="C124" s="88" t="str">
        <x:v>tests</x:v>
      </x:c>
      <x:c r="D124" s="88" t="str"/>
      <x:c r="E124" s="88" t="str">
        <x:v>Test / support</x:v>
      </x:c>
      <x:c r="F124" s="88" t="str">
        <x:v>tests</x:v>
      </x:c>
      <x:c r="G124" s="88" t="str">
        <x:v>test_db_seed.py</x:v>
      </x:c>
      <x:c r="H124" s="90" t="str">
        <x:v>Test db seed</x:v>
      </x:c>
    </x:row>
    <x:row r="125" ht="17.08984375" hidden="0" customHeight="1">
      <x:c r="A125" s="89" t="str">
        <x:v>tests/test_dmp_review_trace.py</x:v>
      </x:c>
      <x:c r="B125" s="88" t="str">
        <x:v>test</x:v>
      </x:c>
      <x:c r="C125" s="88" t="str">
        <x:v>tests</x:v>
      </x:c>
      <x:c r="D125" s="88" t="str"/>
      <x:c r="E125" s="88" t="str">
        <x:v>Review / replay tests</x:v>
      </x:c>
      <x:c r="F125" s="88" t="str">
        <x:v>tests</x:v>
      </x:c>
      <x:c r="G125" s="88" t="str">
        <x:v>test_dmp_review_trace.py</x:v>
      </x:c>
      <x:c r="H125" s="90" t="str">
        <x:v>Gate 10 tests for DMP lineage on review and replay surfaces.</x:v>
      </x:c>
    </x:row>
    <x:row r="126" ht="17.08984375" hidden="0" customHeight="1">
      <x:c r="A126" s="89" t="str">
        <x:v>tests/test_dmp_v2_protocol.py</x:v>
      </x:c>
      <x:c r="B126" s="88" t="str">
        <x:v>test</x:v>
      </x:c>
      <x:c r="C126" s="88" t="str">
        <x:v>tests</x:v>
      </x:c>
      <x:c r="D126" s="88" t="str"/>
      <x:c r="E126" s="88" t="str">
        <x:v>Test / support</x:v>
      </x:c>
      <x:c r="F126" s="88" t="str">
        <x:v>tests</x:v>
      </x:c>
      <x:c r="G126" s="88" t="str">
        <x:v>test_dmp_v2_protocol.py</x:v>
      </x:c>
      <x:c r="H126" s="90" t="str">
        <x:v>DMP v2 schema and migration tests.</x:v>
      </x:c>
    </x:row>
    <x:row r="127" ht="17.08984375" hidden="0" customHeight="1">
      <x:c r="A127" s="89" t="str">
        <x:v>tests/test_document_hygiene.py</x:v>
      </x:c>
      <x:c r="B127" s="88" t="str">
        <x:v>test</x:v>
      </x:c>
      <x:c r="C127" s="88" t="str">
        <x:v>tests</x:v>
      </x:c>
      <x:c r="D127" s="88" t="str"/>
      <x:c r="E127" s="88" t="str">
        <x:v>Test / support</x:v>
      </x:c>
      <x:c r="F127" s="88" t="str">
        <x:v>tests</x:v>
      </x:c>
      <x:c r="G127" s="88" t="str">
        <x:v>test_document_hygiene.py</x:v>
      </x:c>
      <x:c r="H127" s="90" t="str">
        <x:v>Documentation hygiene checks for stable versus dated doc placement.</x:v>
      </x:c>
    </x:row>
    <x:row r="128" ht="17.08984375" hidden="0" customHeight="1">
      <x:c r="A128" s="89" t="str">
        <x:v>tests/test_execution_lifecycle_contracts.py</x:v>
      </x:c>
      <x:c r="B128" s="88" t="str">
        <x:v>test</x:v>
      </x:c>
      <x:c r="C128" s="88" t="str">
        <x:v>tests</x:v>
      </x:c>
      <x:c r="D128" s="88" t="str"/>
      <x:c r="E128" s="88" t="str">
        <x:v>Stage-specific tests</x:v>
      </x:c>
      <x:c r="F128" s="88" t="str">
        <x:v>tests</x:v>
      </x:c>
      <x:c r="G128" s="88" t="str">
        <x:v>test_execution_lifecycle_contracts.py</x:v>
      </x:c>
      <x:c r="H128" s="90" t="str">
        <x:v>Gate 22 tests for execution-state, exits, and lifecycle contracts.</x:v>
      </x:c>
    </x:row>
    <x:row r="129" ht="17.08984375" hidden="0" customHeight="1">
      <x:c r="A129" s="89" t="str">
        <x:v>tests/test_execution_planning_contracts.py</x:v>
      </x:c>
      <x:c r="B129" s="88" t="str">
        <x:v>test</x:v>
      </x:c>
      <x:c r="C129" s="88" t="str">
        <x:v>tests</x:v>
      </x:c>
      <x:c r="D129" s="88" t="str"/>
      <x:c r="E129" s="88" t="str">
        <x:v>Stage-specific tests</x:v>
      </x:c>
      <x:c r="F129" s="88" t="str">
        <x:v>tests</x:v>
      </x:c>
      <x:c r="G129" s="88" t="str">
        <x:v>test_execution_planning_contracts.py</x:v>
      </x:c>
      <x:c r="H129" s="90" t="str">
        <x:v>Gate 21 tests for execution-planning and broker-abstraction contracts.</x:v>
      </x:c>
    </x:row>
    <x:row r="130" ht="17.08984375" hidden="0" customHeight="1">
      <x:c r="A130" s="89" t="str">
        <x:v>tests/test_execution_review_runtime.py</x:v>
      </x:c>
      <x:c r="B130" s="88" t="str">
        <x:v>test</x:v>
      </x:c>
      <x:c r="C130" s="88" t="str">
        <x:v>tests</x:v>
      </x:c>
      <x:c r="D130" s="88" t="str"/>
      <x:c r="E130" s="88" t="str">
        <x:v>Stage-specific tests</x:v>
      </x:c>
      <x:c r="F130" s="88" t="str">
        <x:v>tests</x:v>
      </x:c>
      <x:c r="G130" s="88" t="str">
        <x:v>test_execution_review_runtime.py</x:v>
      </x:c>
      <x:c r="H130" s="90" t="str">
        <x:v>Gate D tests for expression/execution and review/explanation layers.</x:v>
      </x:c>
    </x:row>
    <x:row r="131" ht="17.08984375" hidden="0" customHeight="1">
      <x:c r="A131" s="89" t="str">
        <x:v>tests/test_fixtures_and_config.py</x:v>
      </x:c>
      <x:c r="B131" s="88" t="str">
        <x:v>test</x:v>
      </x:c>
      <x:c r="C131" s="88" t="str">
        <x:v>tests</x:v>
      </x:c>
      <x:c r="D131" s="88" t="str"/>
      <x:c r="E131" s="88" t="str">
        <x:v>Test / support</x:v>
      </x:c>
      <x:c r="F131" s="88" t="str">
        <x:v>tests</x:v>
      </x:c>
      <x:c r="G131" s="88" t="str">
        <x:v>test_fixtures_and_config.py</x:v>
      </x:c>
      <x:c r="H131" s="90" t="str">
        <x:v>Test fixtures and config</x:v>
      </x:c>
    </x:row>
    <x:row r="132" ht="17.08984375" hidden="0" customHeight="1">
      <x:c r="A132" s="89" t="str">
        <x:v>tests/test_gate28_ingress_substrate_contracts.py</x:v>
      </x:c>
      <x:c r="B132" s="88" t="str">
        <x:v>test</x:v>
      </x:c>
      <x:c r="C132" s="88" t="str">
        <x:v>tests</x:v>
      </x:c>
      <x:c r="D132" s="88" t="str"/>
      <x:c r="E132" s="88" t="str">
        <x:v>Test / support</x:v>
      </x:c>
      <x:c r="F132" s="88" t="str">
        <x:v>tests</x:v>
      </x:c>
      <x:c r="G132" s="88" t="str">
        <x:v>test_gate28_ingress_substrate_contracts.py</x:v>
      </x:c>
      <x:c r="H132" s="90" t="str">
        <x:v>Gate 28 coverage checks for the ingress substrate tranche.</x:v>
      </x:c>
    </x:row>
    <x:row r="133" ht="17.08984375" hidden="0" customHeight="1">
      <x:c r="A133" s="89" t="str">
        <x:v>tests/test_gate29_market_context_synthesis_contracts.py</x:v>
      </x:c>
      <x:c r="B133" s="88" t="str">
        <x:v>test</x:v>
      </x:c>
      <x:c r="C133" s="88" t="str">
        <x:v>tests</x:v>
      </x:c>
      <x:c r="D133" s="88" t="str"/>
      <x:c r="E133" s="88" t="str">
        <x:v>Test / support</x:v>
      </x:c>
      <x:c r="F133" s="88" t="str">
        <x:v>tests</x:v>
      </x:c>
      <x:c r="G133" s="88" t="str">
        <x:v>test_gate29_market_context_synthesis_contracts.py</x:v>
      </x:c>
      <x:c r="H133" s="90" t="str">
        <x:v>Gate 29 coverage checks for the market-context synthesis tranche.</x:v>
      </x:c>
    </x:row>
    <x:row r="134" ht="17.08984375" hidden="0" customHeight="1">
      <x:c r="A134" s="89" t="str">
        <x:v>tests/test_gate30_options_ingress_primary_flow_contracts.py</x:v>
      </x:c>
      <x:c r="B134" s="88" t="str">
        <x:v>test</x:v>
      </x:c>
      <x:c r="C134" s="88" t="str">
        <x:v>tests</x:v>
      </x:c>
      <x:c r="D134" s="88" t="str"/>
      <x:c r="E134" s="88" t="str">
        <x:v>Stage-specific tests</x:v>
      </x:c>
      <x:c r="F134" s="88" t="str">
        <x:v>tests</x:v>
      </x:c>
      <x:c r="G134" s="88" t="str">
        <x:v>test_gate30_options_ingress_primary_flow_contracts.py</x:v>
      </x:c>
      <x:c r="H134" s="90" t="str">
        <x:v>Gate 30 coverage checks for the options-ingress tranche.</x:v>
      </x:c>
    </x:row>
    <x:row r="135" ht="17.08984375" hidden="0" customHeight="1">
      <x:c r="A135" s="89" t="str">
        <x:v>tests/test_gate31_higher_order_context_composites.py</x:v>
      </x:c>
      <x:c r="B135" s="88" t="str">
        <x:v>test</x:v>
      </x:c>
      <x:c r="C135" s="88" t="str">
        <x:v>tests</x:v>
      </x:c>
      <x:c r="D135" s="88" t="str"/>
      <x:c r="E135" s="88" t="str">
        <x:v>Test / support</x:v>
      </x:c>
      <x:c r="F135" s="88" t="str">
        <x:v>tests</x:v>
      </x:c>
      <x:c r="G135" s="88" t="str">
        <x:v>test_gate31_higher_order_context_composites.py</x:v>
      </x:c>
      <x:c r="H135" s="90" t="str">
        <x:v>Gate 31 coverage checks for the higher-order context composite tranche.</x:v>
      </x:c>
    </x:row>
    <x:row r="136" ht="17.08984375" hidden="0" customHeight="1">
      <x:c r="A136" s="89" t="str">
        <x:v>tests/test_gate32_archetype_entry_gate_bridge_contracts.py</x:v>
      </x:c>
      <x:c r="B136" s="88" t="str">
        <x:v>test</x:v>
      </x:c>
      <x:c r="C136" s="88" t="str">
        <x:v>tests</x:v>
      </x:c>
      <x:c r="D136" s="88" t="str"/>
      <x:c r="E136" s="88" t="str">
        <x:v>Test / support</x:v>
      </x:c>
      <x:c r="F136" s="88" t="str">
        <x:v>tests</x:v>
      </x:c>
      <x:c r="G136" s="88" t="str">
        <x:v>test_gate32_archetype_entry_gate_bridge_contracts.py</x:v>
      </x:c>
      <x:c r="H136" s="90" t="str">
        <x:v>Gate 32 coverage checks for the archetype and entry-gate bridge tranche.</x:v>
      </x:c>
    </x:row>
    <x:row r="137" ht="17.08984375" hidden="0" customHeight="1">
      <x:c r="A137" s="89" t="str">
        <x:v>tests/test_gate33_ladder_execution_readiness_contracts.py</x:v>
      </x:c>
      <x:c r="B137" s="88" t="str">
        <x:v>test</x:v>
      </x:c>
      <x:c r="C137" s="88" t="str">
        <x:v>tests</x:v>
      </x:c>
      <x:c r="D137" s="88" t="str"/>
      <x:c r="E137" s="88" t="str">
        <x:v>Stage-specific tests</x:v>
      </x:c>
      <x:c r="F137" s="88" t="str">
        <x:v>tests</x:v>
      </x:c>
      <x:c r="G137" s="88" t="str">
        <x:v>test_gate33_ladder_execution_readiness_contracts.py</x:v>
      </x:c>
      <x:c r="H137" s="90" t="str">
        <x:v>Gate 33 coverage checks for the ladder and execution-readiness tranche.</x:v>
      </x:c>
    </x:row>
    <x:row r="138" ht="17.08984375" hidden="0" customHeight="1">
      <x:c r="A138" s="89" t="str">
        <x:v>tests/test_gate34_posture_permission_core_contracts.py</x:v>
      </x:c>
      <x:c r="B138" s="88" t="str">
        <x:v>test</x:v>
      </x:c>
      <x:c r="C138" s="88" t="str">
        <x:v>tests</x:v>
      </x:c>
      <x:c r="D138" s="88" t="str"/>
      <x:c r="E138" s="88" t="str">
        <x:v>Test / support</x:v>
      </x:c>
      <x:c r="F138" s="88" t="str">
        <x:v>tests</x:v>
      </x:c>
      <x:c r="G138" s="88" t="str">
        <x:v>test_gate34_posture_permission_core_contracts.py</x:v>
      </x:c>
      <x:c r="H138" s="90" t="str">
        <x:v>Gate 34 coverage checks for the posture and permission core tranche.</x:v>
      </x:c>
    </x:row>
    <x:row r="139" ht="17.08984375" hidden="0" customHeight="1">
      <x:c r="A139" s="89" t="str">
        <x:v>tests/test_gate35_execution_orchestration_core_contracts.py</x:v>
      </x:c>
      <x:c r="B139" s="88" t="str">
        <x:v>test</x:v>
      </x:c>
      <x:c r="C139" s="88" t="str">
        <x:v>tests</x:v>
      </x:c>
      <x:c r="D139" s="88" t="str"/>
      <x:c r="E139" s="88" t="str">
        <x:v>Stage-specific tests</x:v>
      </x:c>
      <x:c r="F139" s="88" t="str">
        <x:v>tests</x:v>
      </x:c>
      <x:c r="G139" s="88" t="str">
        <x:v>test_gate35_execution_orchestration_core_contracts.py</x:v>
      </x:c>
      <x:c r="H139" s="90" t="str">
        <x:v>Gate 35 coverage checks for the execution-orchestration core tranche.</x:v>
      </x:c>
    </x:row>
    <x:row r="140" ht="17.08984375" hidden="0" customHeight="1">
      <x:c r="A140" s="89" t="str">
        <x:v>tests/test_gate36_execution_state_ledger_spine_contracts.py</x:v>
      </x:c>
      <x:c r="B140" s="88" t="str">
        <x:v>test</x:v>
      </x:c>
      <x:c r="C140" s="88" t="str">
        <x:v>tests</x:v>
      </x:c>
      <x:c r="D140" s="88" t="str"/>
      <x:c r="E140" s="88" t="str">
        <x:v>Stage-specific tests</x:v>
      </x:c>
      <x:c r="F140" s="88" t="str">
        <x:v>tests</x:v>
      </x:c>
      <x:c r="G140" s="88" t="str">
        <x:v>test_gate36_execution_state_ledger_spine_contracts.py</x:v>
      </x:c>
      <x:c r="H140" s="90" t="str">
        <x:v>Gate 36 coverage checks for the execution-state and ledger-spine tranche.</x:v>
      </x:c>
    </x:row>
    <x:row r="141" ht="17.08984375" hidden="0" customHeight="1">
      <x:c r="A141" s="89" t="str">
        <x:v>tests/test_gate37_exit_reentry_continuity_contracts.py</x:v>
      </x:c>
      <x:c r="B141" s="88" t="str">
        <x:v>test</x:v>
      </x:c>
      <x:c r="C141" s="88" t="str">
        <x:v>tests</x:v>
      </x:c>
      <x:c r="D141" s="88" t="str"/>
      <x:c r="E141" s="88" t="str">
        <x:v>Test / support</x:v>
      </x:c>
      <x:c r="F141" s="88" t="str">
        <x:v>tests</x:v>
      </x:c>
      <x:c r="G141" s="88" t="str">
        <x:v>test_gate37_exit_reentry_continuity_contracts.py</x:v>
      </x:c>
      <x:c r="H141" s="90" t="str">
        <x:v>Gate 37 coverage checks for the exit, re-entry, and continuity tranche.</x:v>
      </x:c>
    </x:row>
    <x:row r="142" ht="17.08984375" hidden="0" customHeight="1">
      <x:c r="A142" s="89" t="str">
        <x:v>tests/test_gate38_review_ledger_attribution_spine_contracts.py</x:v>
      </x:c>
      <x:c r="B142" s="88" t="str">
        <x:v>test</x:v>
      </x:c>
      <x:c r="C142" s="88" t="str">
        <x:v>tests</x:v>
      </x:c>
      <x:c r="D142" s="88" t="str"/>
      <x:c r="E142" s="88" t="str">
        <x:v>Review / replay tests</x:v>
      </x:c>
      <x:c r="F142" s="88" t="str">
        <x:v>tests</x:v>
      </x:c>
      <x:c r="G142" s="88" t="str">
        <x:v>test_gate38_review_ledger_attribution_spine_contracts.py</x:v>
      </x:c>
      <x:c r="H142" s="90" t="str">
        <x:v>Gate 38 coverage checks for the review-ledger and attribution-spine tranche.</x:v>
      </x:c>
    </x:row>
    <x:row r="143" ht="17.08984375" hidden="0" customHeight="1">
      <x:c r="A143" s="89" t="str">
        <x:v>tests/test_gate39_review_overlays_feedback_chain_contracts.py</x:v>
      </x:c>
      <x:c r="B143" s="88" t="str">
        <x:v>test</x:v>
      </x:c>
      <x:c r="C143" s="88" t="str">
        <x:v>tests</x:v>
      </x:c>
      <x:c r="D143" s="88" t="str"/>
      <x:c r="E143" s="88" t="str">
        <x:v>Review / replay tests</x:v>
      </x:c>
      <x:c r="F143" s="88" t="str">
        <x:v>tests</x:v>
      </x:c>
      <x:c r="G143" s="88" t="str">
        <x:v>test_gate39_review_overlays_feedback_chain_contracts.py</x:v>
      </x:c>
      <x:c r="H143" s="90" t="str">
        <x:v>Gate 39 coverage checks for the remaining review overlays and feedback-chain tranche.</x:v>
      </x:c>
    </x:row>
    <x:row r="144" ht="17.08984375" hidden="0" customHeight="1">
      <x:c r="A144" s="89" t="str">
        <x:v>tests/test_gate43_options_playbook_expansion.py</x:v>
      </x:c>
      <x:c r="B144" s="88" t="str">
        <x:v>test</x:v>
      </x:c>
      <x:c r="C144" s="88" t="str">
        <x:v>tests</x:v>
      </x:c>
      <x:c r="D144" s="88" t="str"/>
      <x:c r="E144" s="88" t="str">
        <x:v>Stage-specific tests</x:v>
      </x:c>
      <x:c r="F144" s="88" t="str">
        <x:v>tests</x:v>
      </x:c>
      <x:c r="G144" s="88" t="str">
        <x:v>test_gate43_options_playbook_expansion.py</x:v>
      </x:c>
      <x:c r="H144" s="90" t="str">
        <x:v>Gate 43 tests for options-first playbook expansion.</x:v>
      </x:c>
    </x:row>
    <x:row r="145" ht="17.08984375" hidden="0" customHeight="1">
      <x:c r="A145" s="89" t="str">
        <x:v>tests/test_gate46_50_planning_pack.py</x:v>
      </x:c>
      <x:c r="B145" s="88" t="str">
        <x:v>test</x:v>
      </x:c>
      <x:c r="C145" s="88" t="str">
        <x:v>tests</x:v>
      </x:c>
      <x:c r="D145" s="88" t="str"/>
      <x:c r="E145" s="88" t="str">
        <x:v>Test / support</x:v>
      </x:c>
      <x:c r="F145" s="88" t="str">
        <x:v>tests</x:v>
      </x:c>
      <x:c r="G145" s="88" t="str">
        <x:v>test_gate46_50_planning_pack.py</x:v>
      </x:c>
      <x:c r="H145" s="90" t="str">
        <x:v>Planning/execution integrity checks for the post-Gate-50 merged state.</x:v>
      </x:c>
    </x:row>
    <x:row r="146" ht="17.08984375" hidden="0" customHeight="1">
      <x:c r="A146" s="89" t="str">
        <x:v>tests/test_gate47_registry_v2.py</x:v>
      </x:c>
      <x:c r="B146" s="88" t="str">
        <x:v>test</x:v>
      </x:c>
      <x:c r="C146" s="88" t="str">
        <x:v>tests</x:v>
      </x:c>
      <x:c r="D146" s="88" t="str"/>
      <x:c r="E146" s="88" t="str">
        <x:v>Test / support</x:v>
      </x:c>
      <x:c r="F146" s="88" t="str">
        <x:v>tests</x:v>
      </x:c>
      <x:c r="G146" s="88" t="str">
        <x:v>test_gate47_registry_v2.py</x:v>
      </x:c>
      <x:c r="H146" s="90" t="str">
        <x:v>Test gate47 registry v2</x:v>
      </x:c>
    </x:row>
    <x:row r="147" ht="17.08984375" hidden="0" customHeight="1">
      <x:c r="A147" s="89" t="str">
        <x:v>tests/test_gate48_carry_handoff.py</x:v>
      </x:c>
      <x:c r="B147" s="88" t="str">
        <x:v>test</x:v>
      </x:c>
      <x:c r="C147" s="88" t="str">
        <x:v>tests</x:v>
      </x:c>
      <x:c r="D147" s="88" t="str"/>
      <x:c r="E147" s="88" t="str">
        <x:v>Test / support</x:v>
      </x:c>
      <x:c r="F147" s="88" t="str">
        <x:v>tests</x:v>
      </x:c>
      <x:c r="G147" s="88" t="str">
        <x:v>test_gate48_carry_handoff.py</x:v>
      </x:c>
      <x:c r="H147" s="90" t="str">
        <x:v>Test gate48 carry handoff</x:v>
      </x:c>
    </x:row>
    <x:row r="148" ht="17.08984375" hidden="0" customHeight="1">
      <x:c r="A148" s="89" t="str">
        <x:v>tests/test_gate49_temporal_compatibility.py</x:v>
      </x:c>
      <x:c r="B148" s="88" t="str">
        <x:v>test</x:v>
      </x:c>
      <x:c r="C148" s="88" t="str">
        <x:v>tests</x:v>
      </x:c>
      <x:c r="D148" s="88" t="str"/>
      <x:c r="E148" s="88" t="str">
        <x:v>S1 Temporal / calendar tests</x:v>
      </x:c>
      <x:c r="F148" s="88" t="str">
        <x:v>tests</x:v>
      </x:c>
      <x:c r="G148" s="88" t="str">
        <x:v>test_gate49_temporal_compatibility.py</x:v>
      </x:c>
      <x:c r="H148" s="90" t="str">
        <x:v>Test gate49 temporal compatibility</x:v>
      </x:c>
    </x:row>
    <x:row r="149" ht="17.08984375" hidden="0" customHeight="1">
      <x:c r="A149" s="89" t="str">
        <x:v>tests/test_gate50_vocabulary_governance.py</x:v>
      </x:c>
      <x:c r="B149" s="88" t="str">
        <x:v>test</x:v>
      </x:c>
      <x:c r="C149" s="88" t="str">
        <x:v>tests</x:v>
      </x:c>
      <x:c r="D149" s="88" t="str"/>
      <x:c r="E149" s="88" t="str">
        <x:v>Test / support</x:v>
      </x:c>
      <x:c r="F149" s="88" t="str">
        <x:v>tests</x:v>
      </x:c>
      <x:c r="G149" s="88" t="str">
        <x:v>test_gate50_vocabulary_governance.py</x:v>
      </x:c>
      <x:c r="H149" s="90" t="str">
        <x:v>Test gate50 vocabulary governance</x:v>
      </x:c>
    </x:row>
    <x:row r="150" ht="17.08984375" hidden="0" customHeight="1">
      <x:c r="A150" s="89" t="str">
        <x:v>tests/test_gate51_cognitive_workflow_planning.py</x:v>
      </x:c>
      <x:c r="B150" s="88" t="str">
        <x:v>test</x:v>
      </x:c>
      <x:c r="C150" s="88" t="str">
        <x:v>tests</x:v>
      </x:c>
      <x:c r="D150" s="88" t="str"/>
      <x:c r="E150" s="88" t="str">
        <x:v>Test / support</x:v>
      </x:c>
      <x:c r="F150" s="88" t="str">
        <x:v>tests</x:v>
      </x:c>
      <x:c r="G150" s="88" t="str">
        <x:v>test_gate51_cognitive_workflow_planning.py</x:v>
      </x:c>
      <x:c r="H150" s="90" t="str">
        <x:v>Planning integrity checks for Gate 51+ cognitive-workflow implementation docs.</x:v>
      </x:c>
    </x:row>
    <x:row r="151" ht="17.08984375" hidden="0" customHeight="1">
      <x:c r="A151" s="89" t="str">
        <x:v>tests/test_gate52_native_playbook_hierarchy.py</x:v>
      </x:c>
      <x:c r="B151" s="88" t="str">
        <x:v>test</x:v>
      </x:c>
      <x:c r="C151" s="88" t="str">
        <x:v>tests</x:v>
      </x:c>
      <x:c r="D151" s="88" t="str"/>
      <x:c r="E151" s="88" t="str">
        <x:v>Stage-specific tests</x:v>
      </x:c>
      <x:c r="F151" s="88" t="str">
        <x:v>tests</x:v>
      </x:c>
      <x:c r="G151" s="88" t="str">
        <x:v>test_gate52_native_playbook_hierarchy.py</x:v>
      </x:c>
      <x:c r="H151" s="90" t="str">
        <x:v>Test gate52 native playbook hierarchy</x:v>
      </x:c>
    </x:row>
    <x:row r="152" ht="17.08984375" hidden="0" customHeight="1">
      <x:c r="A152" s="89" t="str">
        <x:v>tests/test_gate53_carry_handoff.py</x:v>
      </x:c>
      <x:c r="B152" s="88" t="str">
        <x:v>test</x:v>
      </x:c>
      <x:c r="C152" s="88" t="str">
        <x:v>tests</x:v>
      </x:c>
      <x:c r="D152" s="88" t="str"/>
      <x:c r="E152" s="88" t="str">
        <x:v>Test / support</x:v>
      </x:c>
      <x:c r="F152" s="88" t="str">
        <x:v>tests</x:v>
      </x:c>
      <x:c r="G152" s="88" t="str">
        <x:v>test_gate53_carry_handoff.py</x:v>
      </x:c>
      <x:c r="H152" s="90" t="str">
        <x:v>Test gate53 carry handoff</x:v>
      </x:c>
    </x:row>
    <x:row r="153" ht="17.08984375" hidden="0" customHeight="1">
      <x:c r="A153" s="89" t="str">
        <x:v>tests/test_gate54_dmp_binding_surface.py</x:v>
      </x:c>
      <x:c r="B153" s="88" t="str">
        <x:v>test</x:v>
      </x:c>
      <x:c r="C153" s="88" t="str">
        <x:v>tests</x:v>
      </x:c>
      <x:c r="D153" s="88" t="str"/>
      <x:c r="E153" s="88" t="str">
        <x:v>Test / support</x:v>
      </x:c>
      <x:c r="F153" s="88" t="str">
        <x:v>tests</x:v>
      </x:c>
      <x:c r="G153" s="88" t="str">
        <x:v>test_gate54_dmp_binding_surface.py</x:v>
      </x:c>
      <x:c r="H153" s="90" t="str">
        <x:v>Test gate54 dmp binding surface</x:v>
      </x:c>
    </x:row>
    <x:row r="154" ht="17.08984375" hidden="0" customHeight="1">
      <x:c r="A154" s="89" t="str">
        <x:v>tests/test_gate55_vocabulary_governance.py</x:v>
      </x:c>
      <x:c r="B154" s="88" t="str">
        <x:v>test</x:v>
      </x:c>
      <x:c r="C154" s="88" t="str">
        <x:v>tests</x:v>
      </x:c>
      <x:c r="D154" s="88" t="str"/>
      <x:c r="E154" s="88" t="str">
        <x:v>Test / support</x:v>
      </x:c>
      <x:c r="F154" s="88" t="str">
        <x:v>tests</x:v>
      </x:c>
      <x:c r="G154" s="88" t="str">
        <x:v>test_gate55_vocabulary_governance.py</x:v>
      </x:c>
      <x:c r="H154" s="90" t="str">
        <x:v>Test gate55 vocabulary governance</x:v>
      </x:c>
    </x:row>
    <x:row r="155" ht="17.08984375" hidden="0" customHeight="1">
      <x:c r="A155" s="89" t="str">
        <x:v>tests/test_gate56_58_dmp_promotion.py</x:v>
      </x:c>
      <x:c r="B155" s="88" t="str">
        <x:v>test</x:v>
      </x:c>
      <x:c r="C155" s="88" t="str">
        <x:v>tests</x:v>
      </x:c>
      <x:c r="D155" s="88" t="str"/>
      <x:c r="E155" s="88" t="str">
        <x:v>Review / replay tests</x:v>
      </x:c>
      <x:c r="F155" s="88" t="str">
        <x:v>tests</x:v>
      </x:c>
      <x:c r="G155" s="88" t="str">
        <x:v>test_gate56_58_dmp_promotion.py</x:v>
      </x:c>
      <x:c r="H155" s="90" t="str">
        <x:v>Test gate56 58 dmp promotion</x:v>
      </x:c>
    </x:row>
    <x:row r="156" ht="17.08984375" hidden="0" customHeight="1">
      <x:c r="A156" s="89" t="str">
        <x:v>tests/test_gate59_doctrine_rebase.py</x:v>
      </x:c>
      <x:c r="B156" s="88" t="str">
        <x:v>test</x:v>
      </x:c>
      <x:c r="C156" s="88" t="str">
        <x:v>tests</x:v>
      </x:c>
      <x:c r="D156" s="88" t="str"/>
      <x:c r="E156" s="88" t="str">
        <x:v>Test / support</x:v>
      </x:c>
      <x:c r="F156" s="88" t="str">
        <x:v>tests</x:v>
      </x:c>
      <x:c r="G156" s="88" t="str">
        <x:v>test_gate59_doctrine_rebase.py</x:v>
      </x:c>
      <x:c r="H156" s="90" t="str">
        <x:v>Gate 59 doctrine rebase integrity checks.</x:v>
      </x:c>
    </x:row>
    <x:row r="157" ht="17.08984375" hidden="0" customHeight="1">
      <x:c r="A157" s="89" t="str">
        <x:v>tests/test_gate60_state_policy_ontology.py</x:v>
      </x:c>
      <x:c r="B157" s="88" t="str">
        <x:v>test</x:v>
      </x:c>
      <x:c r="C157" s="88" t="str">
        <x:v>tests</x:v>
      </x:c>
      <x:c r="D157" s="88" t="str"/>
      <x:c r="E157" s="88" t="str">
        <x:v>Test / support</x:v>
      </x:c>
      <x:c r="F157" s="88" t="str">
        <x:v>tests</x:v>
      </x:c>
      <x:c r="G157" s="88" t="str">
        <x:v>test_gate60_state_policy_ontology.py</x:v>
      </x:c>
      <x:c r="H157" s="90" t="str">
        <x:v>Gate 60 state-policy ontology integrity checks.</x:v>
      </x:c>
    </x:row>
    <x:row r="158" ht="17.08984375" hidden="0" customHeight="1">
      <x:c r="A158" s="89" t="str">
        <x:v>tests/test_gate61_non_action_conflict.py</x:v>
      </x:c>
      <x:c r="B158" s="88" t="str">
        <x:v>test</x:v>
      </x:c>
      <x:c r="C158" s="88" t="str">
        <x:v>tests</x:v>
      </x:c>
      <x:c r="D158" s="88" t="str"/>
      <x:c r="E158" s="88" t="str">
        <x:v>S1 Temporal / calendar tests</x:v>
      </x:c>
      <x:c r="F158" s="88" t="str">
        <x:v>tests</x:v>
      </x:c>
      <x:c r="G158" s="88" t="str">
        <x:v>test_gate61_non_action_conflict.py</x:v>
      </x:c>
      <x:c r="H158" s="90" t="str">
        <x:v>Gate 61 non-action, conflict, and discretion integrity checks.</x:v>
      </x:c>
    </x:row>
    <x:row r="159" ht="17.08984375" hidden="0" customHeight="1">
      <x:c r="A159" s="89" t="str">
        <x:v>tests/test_gate62_stability_metric_corridors.py</x:v>
      </x:c>
      <x:c r="B159" s="88" t="str">
        <x:v>test</x:v>
      </x:c>
      <x:c r="C159" s="88" t="str">
        <x:v>tests</x:v>
      </x:c>
      <x:c r="D159" s="88" t="str"/>
      <x:c r="E159" s="88" t="str">
        <x:v>Test / support</x:v>
      </x:c>
      <x:c r="F159" s="88" t="str">
        <x:v>tests</x:v>
      </x:c>
      <x:c r="G159" s="88" t="str">
        <x:v>test_gate62_stability_metric_corridors.py</x:v>
      </x:c>
      <x:c r="H159" s="90" t="str">
        <x:v>Gate 62 stability metric and corridor integrity checks.</x:v>
      </x:c>
    </x:row>
    <x:row r="160" ht="17.08984375" hidden="0" customHeight="1">
      <x:c r="A160" s="89" t="str">
        <x:v>tests/test_gate63_review_eligibility_governance.py</x:v>
      </x:c>
      <x:c r="B160" s="88" t="str">
        <x:v>test</x:v>
      </x:c>
      <x:c r="C160" s="88" t="str">
        <x:v>tests</x:v>
      </x:c>
      <x:c r="D160" s="88" t="str"/>
      <x:c r="E160" s="88" t="str">
        <x:v>Review / replay tests</x:v>
      </x:c>
      <x:c r="F160" s="88" t="str">
        <x:v>tests</x:v>
      </x:c>
      <x:c r="G160" s="88" t="str">
        <x:v>test_gate63_review_eligibility_governance.py</x:v>
      </x:c>
      <x:c r="H160" s="90" t="str">
        <x:v>Gate 63 review-eligibility governance integrity checks.</x:v>
      </x:c>
    </x:row>
    <x:row r="161" ht="17.08984375" hidden="0" customHeight="1">
      <x:c r="A161" s="89" t="str">
        <x:v>tests/test_gate64_candidate_adjudication_governance.py</x:v>
      </x:c>
      <x:c r="B161" s="88" t="str">
        <x:v>test</x:v>
      </x:c>
      <x:c r="C161" s="88" t="str">
        <x:v>tests</x:v>
      </x:c>
      <x:c r="D161" s="88" t="str"/>
      <x:c r="E161" s="88" t="str">
        <x:v>Review / replay tests</x:v>
      </x:c>
      <x:c r="F161" s="88" t="str">
        <x:v>tests</x:v>
      </x:c>
      <x:c r="G161" s="88" t="str">
        <x:v>test_gate64_candidate_adjudication_governance.py</x:v>
      </x:c>
      <x:c r="H161" s="90" t="str">
        <x:v>Gate 64 candidate and adjudication governance integrity checks.</x:v>
      </x:c>
    </x:row>
    <x:row r="162" ht="17.08984375" hidden="0" customHeight="1">
      <x:c r="A162" s="89" t="str">
        <x:v>tests/test_gate65_event_taxonomy.py</x:v>
      </x:c>
      <x:c r="B162" s="88" t="str">
        <x:v>test</x:v>
      </x:c>
      <x:c r="C162" s="88" t="str">
        <x:v>tests</x:v>
      </x:c>
      <x:c r="D162" s="88" t="str"/>
      <x:c r="E162" s="88" t="str">
        <x:v>Test / support</x:v>
      </x:c>
      <x:c r="F162" s="88" t="str">
        <x:v>tests</x:v>
      </x:c>
      <x:c r="G162" s="88" t="str">
        <x:v>test_gate65_event_taxonomy.py</x:v>
      </x:c>
      <x:c r="H162" s="90" t="str">
        <x:v>Gate 65 event-taxonomy integrity checks.</x:v>
      </x:c>
    </x:row>
    <x:row r="163" ht="17.08984375" hidden="0" customHeight="1">
      <x:c r="A163" s="89" t="str">
        <x:v>tests/test_gate66_desk_calendar_contracts.py</x:v>
      </x:c>
      <x:c r="B163" s="88" t="str">
        <x:v>test</x:v>
      </x:c>
      <x:c r="C163" s="88" t="str">
        <x:v>tests</x:v>
      </x:c>
      <x:c r="D163" s="88" t="str"/>
      <x:c r="E163" s="88" t="str">
        <x:v>S1 Temporal / calendar tests</x:v>
      </x:c>
      <x:c r="F163" s="88" t="str">
        <x:v>tests</x:v>
      </x:c>
      <x:c r="G163" s="88" t="str">
        <x:v>test_gate66_desk_calendar_contracts.py</x:v>
      </x:c>
      <x:c r="H163" s="90" t="str">
        <x:v>Gate 66 desk-calendar and venue-contract integrity checks.</x:v>
      </x:c>
    </x:row>
    <x:row r="164" ht="17.08984375" hidden="0" customHeight="1">
      <x:c r="A164" s="89" t="str">
        <x:v>tests/test_gate67_event_window_semantics.py</x:v>
      </x:c>
      <x:c r="B164" s="88" t="str">
        <x:v>test</x:v>
      </x:c>
      <x:c r="C164" s="88" t="str">
        <x:v>tests</x:v>
      </x:c>
      <x:c r="D164" s="88" t="str"/>
      <x:c r="E164" s="88" t="str">
        <x:v>Test / support</x:v>
      </x:c>
      <x:c r="F164" s="88" t="str">
        <x:v>tests</x:v>
      </x:c>
      <x:c r="G164" s="88" t="str">
        <x:v>test_gate67_event_window_semantics.py</x:v>
      </x:c>
      <x:c r="H164" s="90" t="str">
        <x:v>Gate 67 temporal event-window integrity checks.</x:v>
      </x:c>
    </x:row>
    <x:row r="165" ht="17.08984375" hidden="0" customHeight="1">
      <x:c r="A165" s="89" t="str">
        <x:v>tests/test_gate68_precursor_universe.py</x:v>
      </x:c>
      <x:c r="B165" s="88" t="str">
        <x:v>test</x:v>
      </x:c>
      <x:c r="C165" s="88" t="str">
        <x:v>tests</x:v>
      </x:c>
      <x:c r="D165" s="88" t="str"/>
      <x:c r="E165" s="88" t="str">
        <x:v>Test / support</x:v>
      </x:c>
      <x:c r="F165" s="88" t="str">
        <x:v>tests</x:v>
      </x:c>
      <x:c r="G165" s="88" t="str">
        <x:v>test_gate68_precursor_universe.py</x:v>
      </x:c>
      <x:c r="H165" s="90" t="str">
        <x:v>Gate 68 precursor-universe integrity checks.</x:v>
      </x:c>
    </x:row>
    <x:row r="166" ht="17.08984375" hidden="0" customHeight="1">
      <x:c r="A166" s="89" t="str">
        <x:v>tests/test_gate69_phase_carry_policy.py</x:v>
      </x:c>
      <x:c r="B166" s="88" t="str">
        <x:v>test</x:v>
      </x:c>
      <x:c r="C166" s="88" t="str">
        <x:v>tests</x:v>
      </x:c>
      <x:c r="D166" s="88" t="str"/>
      <x:c r="E166" s="88" t="str">
        <x:v>Test / support</x:v>
      </x:c>
      <x:c r="F166" s="88" t="str">
        <x:v>tests</x:v>
      </x:c>
      <x:c r="G166" s="88" t="str">
        <x:v>test_gate69_phase_carry_policy.py</x:v>
      </x:c>
      <x:c r="H166" s="90" t="str">
        <x:v>Gate 69 phase-of-day and carryover policy integrity checks.</x:v>
      </x:c>
    </x:row>
    <x:row r="167" ht="17.08984375" hidden="0" customHeight="1">
      <x:c r="A167" s="89" t="str">
        <x:v>tests/test_gate70_event_options_stress_policy.py</x:v>
      </x:c>
      <x:c r="B167" s="88" t="str">
        <x:v>test</x:v>
      </x:c>
      <x:c r="C167" s="88" t="str">
        <x:v>tests</x:v>
      </x:c>
      <x:c r="D167" s="88" t="str"/>
      <x:c r="E167" s="88" t="str">
        <x:v>Policy / runtime integration tests</x:v>
      </x:c>
      <x:c r="F167" s="88" t="str">
        <x:v>tests</x:v>
      </x:c>
      <x:c r="G167" s="88" t="str">
        <x:v>test_gate70_event_options_stress_policy.py</x:v>
      </x:c>
      <x:c r="H167" s="90" t="str">
        <x:v>Gate 70 event and options-stress policy integrity checks.</x:v>
      </x:c>
    </x:row>
    <x:row r="168" ht="17.08984375" hidden="0" customHeight="1">
      <x:c r="A168" s="89" t="str">
        <x:v>tests/test_gate71_modifier_control_law.py</x:v>
      </x:c>
      <x:c r="B168" s="88" t="str">
        <x:v>test</x:v>
      </x:c>
      <x:c r="C168" s="88" t="str">
        <x:v>tests</x:v>
      </x:c>
      <x:c r="D168" s="88" t="str"/>
      <x:c r="E168" s="88" t="str">
        <x:v>Policy / runtime integration tests</x:v>
      </x:c>
      <x:c r="F168" s="88" t="str">
        <x:v>tests</x:v>
      </x:c>
      <x:c r="G168" s="88" t="str">
        <x:v>test_gate71_modifier_control_law.py</x:v>
      </x:c>
      <x:c r="H168" s="90" t="str">
        <x:v>Gate 71 modifier-control-law integrity checks.</x:v>
      </x:c>
    </x:row>
    <x:row r="169" ht="17.08984375" hidden="0" customHeight="1">
      <x:c r="A169" s="89" t="str">
        <x:v>tests/test_gate72_event_ingestion_provenance.py</x:v>
      </x:c>
      <x:c r="B169" s="88" t="str">
        <x:v>test</x:v>
      </x:c>
      <x:c r="C169" s="88" t="str">
        <x:v>tests</x:v>
      </x:c>
      <x:c r="D169" s="88" t="str"/>
      <x:c r="E169" s="88" t="str">
        <x:v>Test / support</x:v>
      </x:c>
      <x:c r="F169" s="88" t="str">
        <x:v>tests</x:v>
      </x:c>
      <x:c r="G169" s="88" t="str">
        <x:v>test_gate72_event_ingestion_provenance.py</x:v>
      </x:c>
      <x:c r="H169" s="90" t="str">
        <x:v>Gate 72 event-ingestion and provenance integrity checks.</x:v>
      </x:c>
    </x:row>
    <x:row r="170" ht="17.08984375" hidden="0" customHeight="1">
      <x:c r="A170" s="89" t="str">
        <x:v>tests/test_gate73_event_store_query.py</x:v>
      </x:c>
      <x:c r="B170" s="88" t="str">
        <x:v>test</x:v>
      </x:c>
      <x:c r="C170" s="88" t="str">
        <x:v>tests</x:v>
      </x:c>
      <x:c r="D170" s="88" t="str"/>
      <x:c r="E170" s="88" t="str">
        <x:v>Test / support</x:v>
      </x:c>
      <x:c r="F170" s="88" t="str">
        <x:v>tests</x:v>
      </x:c>
      <x:c r="G170" s="88" t="str">
        <x:v>test_gate73_event_store_query.py</x:v>
      </x:c>
      <x:c r="H170" s="90" t="str">
        <x:v>Gate 73 event-store and query integrity checks.</x:v>
      </x:c>
    </x:row>
    <x:row r="171" ht="17.08984375" hidden="0" customHeight="1">
      <x:c r="A171" s="89" t="str">
        <x:v>tests/test_gate74_live_event_richness.py</x:v>
      </x:c>
      <x:c r="B171" s="88" t="str">
        <x:v>test</x:v>
      </x:c>
      <x:c r="C171" s="88" t="str">
        <x:v>tests</x:v>
      </x:c>
      <x:c r="D171" s="88" t="str"/>
      <x:c r="E171" s="88" t="str">
        <x:v>Test / support</x:v>
      </x:c>
      <x:c r="F171" s="88" t="str">
        <x:v>tests</x:v>
      </x:c>
      <x:c r="G171" s="88" t="str">
        <x:v>test_gate74_live_event_richness.py</x:v>
      </x:c>
      <x:c r="H171" s="90" t="str">
        <x:v>Gate 74 live-event-richness integrity checks.</x:v>
      </x:c>
    </x:row>
    <x:row r="172" ht="17.08984375" hidden="0" customHeight="1">
      <x:c r="A172" s="89" t="str">
        <x:v>tests/test_gate75_precursor_stitching.py</x:v>
      </x:c>
      <x:c r="B172" s="88" t="str">
        <x:v>test</x:v>
      </x:c>
      <x:c r="C172" s="88" t="str">
        <x:v>tests</x:v>
      </x:c>
      <x:c r="D172" s="88" t="str"/>
      <x:c r="E172" s="88" t="str">
        <x:v>Test / support</x:v>
      </x:c>
      <x:c r="F172" s="88" t="str">
        <x:v>tests</x:v>
      </x:c>
      <x:c r="G172" s="88" t="str">
        <x:v>test_gate75_precursor_stitching.py</x:v>
      </x:c>
      <x:c r="H172" s="90" t="str">
        <x:v>Gate 75 precursor-stitching integrity checks.</x:v>
      </x:c>
    </x:row>
    <x:row r="173" ht="17.08984375" hidden="0" customHeight="1">
      <x:c r="A173" s="89" t="str">
        <x:v>tests/test_gate76_precursor_runtime_binding.py</x:v>
      </x:c>
      <x:c r="B173" s="88" t="str">
        <x:v>test</x:v>
      </x:c>
      <x:c r="C173" s="88" t="str">
        <x:v>tests</x:v>
      </x:c>
      <x:c r="D173" s="88" t="str"/>
      <x:c r="E173" s="88" t="str">
        <x:v>Test / support</x:v>
      </x:c>
      <x:c r="F173" s="88" t="str">
        <x:v>tests</x:v>
      </x:c>
      <x:c r="G173" s="88" t="str">
        <x:v>test_gate76_precursor_runtime_binding.py</x:v>
      </x:c>
      <x:c r="H173" s="90" t="str">
        <x:v>Gate 76 precursor runtime-binding integrity checks.</x:v>
      </x:c>
    </x:row>
    <x:row r="174" ht="17.08984375" hidden="0" customHeight="1">
      <x:c r="A174" s="89" t="str">
        <x:v>tests/test_gate77_review_failure_taxonomy.py</x:v>
      </x:c>
      <x:c r="B174" s="88" t="str">
        <x:v>test</x:v>
      </x:c>
      <x:c r="C174" s="88" t="str">
        <x:v>tests</x:v>
      </x:c>
      <x:c r="D174" s="88" t="str"/>
      <x:c r="E174" s="88" t="str">
        <x:v>Review / replay tests</x:v>
      </x:c>
      <x:c r="F174" s="88" t="str">
        <x:v>tests</x:v>
      </x:c>
      <x:c r="G174" s="88" t="str">
        <x:v>test_gate77_review_failure_taxonomy.py</x:v>
      </x:c>
      <x:c r="H174" s="90" t="str">
        <x:v>Gate 77 review-packet and failure-taxonomy integrity checks.</x:v>
      </x:c>
    </x:row>
    <x:row r="175" ht="17.08984375" hidden="0" customHeight="1">
      <x:c r="A175" s="89" t="str">
        <x:v>tests/test_gate78_modifier_runtime_integration.py</x:v>
      </x:c>
      <x:c r="B175" s="88" t="str">
        <x:v>test</x:v>
      </x:c>
      <x:c r="C175" s="88" t="str">
        <x:v>tests</x:v>
      </x:c>
      <x:c r="D175" s="88" t="str"/>
      <x:c r="E175" s="88" t="str">
        <x:v>Policy / runtime integration tests</x:v>
      </x:c>
      <x:c r="F175" s="88" t="str">
        <x:v>tests</x:v>
      </x:c>
      <x:c r="G175" s="88" t="str">
        <x:v>test_gate78_modifier_runtime_integration.py</x:v>
      </x:c>
      <x:c r="H175" s="90" t="str">
        <x:v>Gate 78 runtime integration integrity checks.</x:v>
      </x:c>
    </x:row>
    <x:row r="176" ht="17.08984375" hidden="0" customHeight="1">
      <x:c r="A176" s="89" t="str">
        <x:v>tests/test_gate79_horizon_discovery_harness.py</x:v>
      </x:c>
      <x:c r="B176" s="88" t="str">
        <x:v>test</x:v>
      </x:c>
      <x:c r="C176" s="88" t="str">
        <x:v>tests</x:v>
      </x:c>
      <x:c r="D176" s="88" t="str"/>
      <x:c r="E176" s="88" t="str">
        <x:v>Review / replay tests</x:v>
      </x:c>
      <x:c r="F176" s="88" t="str">
        <x:v>tests</x:v>
      </x:c>
      <x:c r="G176" s="88" t="str">
        <x:v>test_gate79_horizon_discovery_harness.py</x:v>
      </x:c>
      <x:c r="H176" s="90" t="str">
        <x:v>Gate 79 harness tests for walk-forward review-horizon discovery.</x:v>
      </x:c>
    </x:row>
    <x:row r="177" ht="17.08984375" hidden="0" customHeight="1">
      <x:c r="A177" s="89" t="str">
        <x:v>tests/test_import_registry_and_mapping.py</x:v>
      </x:c>
      <x:c r="B177" s="88" t="str">
        <x:v>test</x:v>
      </x:c>
      <x:c r="C177" s="88" t="str">
        <x:v>tests</x:v>
      </x:c>
      <x:c r="D177" s="88" t="str"/>
      <x:c r="E177" s="88" t="str">
        <x:v>Test / support</x:v>
      </x:c>
      <x:c r="F177" s="88" t="str">
        <x:v>tests</x:v>
      </x:c>
      <x:c r="G177" s="88" t="str">
        <x:v>test_import_registry_and_mapping.py</x:v>
      </x:c>
      <x:c r="H177" s="90" t="str">
        <x:v>Tests for canonical import-registry, grammar-mapping, and Gate-B reports.</x:v>
      </x:c>
    </x:row>
    <x:row r="178" ht="17.08984375" hidden="0" customHeight="1">
      <x:c r="A178" s="89" t="str">
        <x:v>tests/test_market_regime_context.py</x:v>
      </x:c>
      <x:c r="B178" s="88" t="str">
        <x:v>test</x:v>
      </x:c>
      <x:c r="C178" s="88" t="str">
        <x:v>tests</x:v>
      </x:c>
      <x:c r="D178" s="88" t="str"/>
      <x:c r="E178" s="88" t="str">
        <x:v>Policy / runtime integration tests</x:v>
      </x:c>
      <x:c r="F178" s="88" t="str">
        <x:v>tests</x:v>
      </x:c>
      <x:c r="G178" s="88" t="str">
        <x:v>test_market_regime_context.py</x:v>
      </x:c>
      <x:c r="H178" s="90" t="str">
        <x:v>Gate D tests for deterministic market-regime classification.</x:v>
      </x:c>
    </x:row>
    <x:row r="179" ht="17.08984375" hidden="0" customHeight="1">
      <x:c r="A179" s="89" t="str">
        <x:v>tests/test_market_substrate_contracts.py</x:v>
      </x:c>
      <x:c r="B179" s="88" t="str">
        <x:v>test</x:v>
      </x:c>
      <x:c r="C179" s="88" t="str">
        <x:v>tests</x:v>
      </x:c>
      <x:c r="D179" s="88" t="str"/>
      <x:c r="E179" s="88" t="str">
        <x:v>Test / support</x:v>
      </x:c>
      <x:c r="F179" s="88" t="str">
        <x:v>tests</x:v>
      </x:c>
      <x:c r="G179" s="88" t="str">
        <x:v>test_market_substrate_contracts.py</x:v>
      </x:c>
      <x:c r="H179" s="90" t="str">
        <x:v>Gate 18 tests for shared market-data substrate contracts.</x:v>
      </x:c>
    </x:row>
    <x:row r="180" ht="17.08984375" hidden="0" customHeight="1">
      <x:c r="A180" s="89" t="str">
        <x:v>tests/test_module_evaluators.py</x:v>
      </x:c>
      <x:c r="B180" s="88" t="str">
        <x:v>test</x:v>
      </x:c>
      <x:c r="C180" s="88" t="str">
        <x:v>tests</x:v>
      </x:c>
      <x:c r="D180" s="88" t="str"/>
      <x:c r="E180" s="88" t="str">
        <x:v>Test / support</x:v>
      </x:c>
      <x:c r="F180" s="88" t="str">
        <x:v>tests</x:v>
      </x:c>
      <x:c r="G180" s="88" t="str">
        <x:v>test_module_evaluators.py</x:v>
      </x:c>
      <x:c r="H180" s="90" t="str">
        <x:v>Test module evaluators</x:v>
      </x:c>
    </x:row>
    <x:row r="181" ht="17.08984375" hidden="0" customHeight="1">
      <x:c r="A181" s="89" t="str">
        <x:v>tests/test_module_registry_promotion.py</x:v>
      </x:c>
      <x:c r="B181" s="88" t="str">
        <x:v>test</x:v>
      </x:c>
      <x:c r="C181" s="88" t="str">
        <x:v>tests</x:v>
      </x:c>
      <x:c r="D181" s="88" t="str"/>
      <x:c r="E181" s="88" t="str">
        <x:v>Review / replay tests</x:v>
      </x:c>
      <x:c r="F181" s="88" t="str">
        <x:v>tests</x:v>
      </x:c>
      <x:c r="G181" s="88" t="str">
        <x:v>test_module_registry_promotion.py</x:v>
      </x:c>
      <x:c r="H181" s="90" t="str">
        <x:v>Test module registry promotion</x:v>
      </x:c>
    </x:row>
    <x:row r="182" ht="17.08984375" hidden="0" customHeight="1">
      <x:c r="A182" s="89" t="str">
        <x:v>tests/test_options_flow_context.py</x:v>
      </x:c>
      <x:c r="B182" s="88" t="str">
        <x:v>test</x:v>
      </x:c>
      <x:c r="C182" s="88" t="str">
        <x:v>tests</x:v>
      </x:c>
      <x:c r="D182" s="88" t="str"/>
      <x:c r="E182" s="88" t="str">
        <x:v>Stage-specific tests</x:v>
      </x:c>
      <x:c r="F182" s="88" t="str">
        <x:v>tests</x:v>
      </x:c>
      <x:c r="G182" s="88" t="str">
        <x:v>test_options_flow_context.py</x:v>
      </x:c>
      <x:c r="H182" s="90" t="str">
        <x:v>Gate D tests for deterministic options-and-flow classification.</x:v>
      </x:c>
    </x:row>
    <x:row r="183" ht="17.08984375" hidden="0" customHeight="1">
      <x:c r="A183" s="89" t="str">
        <x:v>tests/test_planning_gate_authority_consistency.py</x:v>
      </x:c>
      <x:c r="B183" s="88" t="str">
        <x:v>test</x:v>
      </x:c>
      <x:c r="C183" s="88" t="str">
        <x:v>tests</x:v>
      </x:c>
      <x:c r="D183" s="88" t="str"/>
      <x:c r="E183" s="88" t="str">
        <x:v>Test / support</x:v>
      </x:c>
      <x:c r="F183" s="88" t="str">
        <x:v>tests</x:v>
      </x:c>
      <x:c r="G183" s="88" t="str">
        <x:v>test_planning_gate_authority_consistency.py</x:v>
      </x:c>
      <x:c r="H183" s="90" t="str">
        <x:v>Planning authority consistency checks for the active gate quartet.</x:v>
      </x:c>
    </x:row>
    <x:row r="184" ht="17.08984375" hidden="0" customHeight="1">
      <x:c r="A184" s="89" t="str">
        <x:v>tests/test_planning_ready_import_backlog_partition.py</x:v>
      </x:c>
      <x:c r="B184" s="88" t="str">
        <x:v>test</x:v>
      </x:c>
      <x:c r="C184" s="88" t="str">
        <x:v>tests</x:v>
      </x:c>
      <x:c r="D184" s="88" t="str"/>
      <x:c r="E184" s="88" t="str">
        <x:v>Test / support</x:v>
      </x:c>
      <x:c r="F184" s="88" t="str">
        <x:v>tests</x:v>
      </x:c>
      <x:c r="G184" s="88" t="str">
        <x:v>test_planning_ready_import_backlog_partition.py</x:v>
      </x:c>
      <x:c r="H184" s="90" t="str">
        <x:v>Planning partition checks for the remaining ready-for-contract-import backlog.</x:v>
      </x:c>
    </x:row>
    <x:row r="185" ht="17.08984375" hidden="0" customHeight="1">
      <x:c r="A185" s="89" t="str">
        <x:v>tests/test_playbook_registry.py</x:v>
      </x:c>
      <x:c r="B185" s="88" t="str">
        <x:v>test</x:v>
      </x:c>
      <x:c r="C185" s="88" t="str">
        <x:v>tests</x:v>
      </x:c>
      <x:c r="D185" s="88" t="str"/>
      <x:c r="E185" s="88" t="str">
        <x:v>Stage-specific tests</x:v>
      </x:c>
      <x:c r="F185" s="88" t="str">
        <x:v>tests</x:v>
      </x:c>
      <x:c r="G185" s="88" t="str">
        <x:v>test_playbook_registry.py</x:v>
      </x:c>
      <x:c r="H185" s="90" t="str">
        <x:v>Gate 47 tests for the checked-in playbook registry v2 surfaces.</x:v>
      </x:c>
    </x:row>
    <x:row r="186" ht="17.08984375" hidden="0" customHeight="1">
      <x:c r="A186" s="89" t="str">
        <x:v>tests/test_posture_enricher_contracts.py</x:v>
      </x:c>
      <x:c r="B186" s="88" t="str">
        <x:v>test</x:v>
      </x:c>
      <x:c r="C186" s="88" t="str">
        <x:v>tests</x:v>
      </x:c>
      <x:c r="D186" s="88" t="str"/>
      <x:c r="E186" s="88" t="str">
        <x:v>Test / support</x:v>
      </x:c>
      <x:c r="F186" s="88" t="str">
        <x:v>tests</x:v>
      </x:c>
      <x:c r="G186" s="88" t="str">
        <x:v>test_posture_enricher_contracts.py</x:v>
      </x:c>
      <x:c r="H186" s="90" t="str">
        <x:v>Gate 20 tests for posture and eligibility enricher contracts.</x:v>
      </x:c>
    </x:row>
    <x:row r="187" ht="17.08984375" hidden="0" customHeight="1">
      <x:c r="A187" s="89" t="str">
        <x:v>tests/test_posture_risk_and_playbook.py</x:v>
      </x:c>
      <x:c r="B187" s="88" t="str">
        <x:v>test</x:v>
      </x:c>
      <x:c r="C187" s="88" t="str">
        <x:v>tests</x:v>
      </x:c>
      <x:c r="D187" s="88" t="str"/>
      <x:c r="E187" s="88" t="str">
        <x:v>Stage-specific tests</x:v>
      </x:c>
      <x:c r="F187" s="88" t="str">
        <x:v>tests</x:v>
      </x:c>
      <x:c r="G187" s="88" t="str">
        <x:v>test_posture_risk_and_playbook.py</x:v>
      </x:c>
      <x:c r="H187" s="90" t="str">
        <x:v>Gate D tests for posture/risk governance and playbook eligibility.</x:v>
      </x:c>
    </x:row>
    <x:row r="188" ht="17.08984375" hidden="0" customHeight="1">
      <x:c r="A188" s="89" t="str">
        <x:v>tests/test_real_data_loader.py</x:v>
      </x:c>
      <x:c r="B188" s="88" t="str">
        <x:v>test</x:v>
      </x:c>
      <x:c r="C188" s="88" t="str">
        <x:v>tests</x:v>
      </x:c>
      <x:c r="D188" s="88" t="str"/>
      <x:c r="E188" s="88" t="str">
        <x:v>Test / support</x:v>
      </x:c>
      <x:c r="F188" s="88" t="str">
        <x:v>tests</x:v>
      </x:c>
      <x:c r="G188" s="88" t="str">
        <x:v>test_real_data_loader.py</x:v>
      </x:c>
      <x:c r="H188" s="90" t="str">
        <x:v>Gate E tests for deterministic real-data runtime preparation.</x:v>
      </x:c>
    </x:row>
    <x:row r="189" ht="17.08984375" hidden="0" customHeight="1">
      <x:c r="A189" s="89" t="str">
        <x:v>tests/test_replay_compare_runtime.py</x:v>
      </x:c>
      <x:c r="B189" s="88" t="str">
        <x:v>test</x:v>
      </x:c>
      <x:c r="C189" s="88" t="str">
        <x:v>tests</x:v>
      </x:c>
      <x:c r="D189" s="88" t="str"/>
      <x:c r="E189" s="88" t="str">
        <x:v>Review / replay tests</x:v>
      </x:c>
      <x:c r="F189" s="88" t="str">
        <x:v>tests</x:v>
      </x:c>
      <x:c r="G189" s="88" t="str">
        <x:v>test_replay_compare_runtime.py</x:v>
      </x:c>
      <x:c r="H189" s="90" t="str">
        <x:v>Gate F tests for deterministic replay, calibration, and stack comparison.</x:v>
      </x:c>
    </x:row>
    <x:row r="190" ht="17.08984375" hidden="0" customHeight="1">
      <x:c r="A190" s="89" t="str">
        <x:v>tests/test_research_eval_replay.py</x:v>
      </x:c>
      <x:c r="B190" s="88" t="str">
        <x:v>test</x:v>
      </x:c>
      <x:c r="C190" s="88" t="str">
        <x:v>tests</x:v>
      </x:c>
      <x:c r="D190" s="88" t="str"/>
      <x:c r="E190" s="88" t="str">
        <x:v>Review / replay tests</x:v>
      </x:c>
      <x:c r="F190" s="88" t="str">
        <x:v>tests</x:v>
      </x:c>
      <x:c r="G190" s="88" t="str">
        <x:v>test_research_eval_replay.py</x:v>
      </x:c>
      <x:c r="H190" s="90" t="str">
        <x:v>Gate 79 replay/research wrapper tests.</x:v>
      </x:c>
    </x:row>
    <x:row r="191" ht="17.08984375" hidden="0" customHeight="1">
      <x:c r="A191" s="89" t="str">
        <x:v>tests/test_research_replay.py</x:v>
      </x:c>
      <x:c r="B191" s="88" t="str">
        <x:v>test</x:v>
      </x:c>
      <x:c r="C191" s="88" t="str">
        <x:v>tests</x:v>
      </x:c>
      <x:c r="D191" s="88" t="str"/>
      <x:c r="E191" s="88" t="str">
        <x:v>Review / replay tests</x:v>
      </x:c>
      <x:c r="F191" s="88" t="str">
        <x:v>tests</x:v>
      </x:c>
      <x:c r="G191" s="88" t="str">
        <x:v>test_research_replay.py</x:v>
      </x:c>
      <x:c r="H191" s="90" t="str">
        <x:v>Test research replay</x:v>
      </x:c>
    </x:row>
    <x:row r="192" ht="17.08984375" hidden="0" customHeight="1">
      <x:c r="A192" s="89" t="str">
        <x:v>tests/test_review_attribution_contracts.py</x:v>
      </x:c>
      <x:c r="B192" s="88" t="str">
        <x:v>test</x:v>
      </x:c>
      <x:c r="C192" s="88" t="str">
        <x:v>tests</x:v>
      </x:c>
      <x:c r="D192" s="88" t="str"/>
      <x:c r="E192" s="88" t="str">
        <x:v>Review / replay tests</x:v>
      </x:c>
      <x:c r="F192" s="88" t="str">
        <x:v>tests</x:v>
      </x:c>
      <x:c r="G192" s="88" t="str">
        <x:v>test_review_attribution_contracts.py</x:v>
      </x:c>
      <x:c r="H192" s="90" t="str">
        <x:v>Gate 23 tests for review, P&amp;L, attribution, and variant tracking.</x:v>
      </x:c>
    </x:row>
    <x:row r="193" ht="17.08984375" hidden="0" customHeight="1">
      <x:c r="A193" s="89" t="str">
        <x:v>tests/test_runtime_contract_registry.py</x:v>
      </x:c>
      <x:c r="B193" s="88" t="str">
        <x:v>test</x:v>
      </x:c>
      <x:c r="C193" s="88" t="str">
        <x:v>tests</x:v>
      </x:c>
      <x:c r="D193" s="88" t="str"/>
      <x:c r="E193" s="88" t="str">
        <x:v>Test / support</x:v>
      </x:c>
      <x:c r="F193" s="88" t="str">
        <x:v>tests</x:v>
      </x:c>
      <x:c r="G193" s="88" t="str">
        <x:v>test_runtime_contract_registry.py</x:v>
      </x:c>
      <x:c r="H193" s="90" t="str">
        <x:v>Gate C tests for runtime contracts, docstrings, and fixture contracts.</x:v>
      </x:c>
    </x:row>
    <x:row r="194" ht="17.08984375" hidden="0" customHeight="1">
      <x:c r="A194" s="89" t="str">
        <x:v>tests/test_runtime_parity_registry_playbooks.py</x:v>
      </x:c>
      <x:c r="B194" s="88" t="str">
        <x:v>test</x:v>
      </x:c>
      <x:c r="C194" s="88" t="str">
        <x:v>tests</x:v>
      </x:c>
      <x:c r="D194" s="88" t="str"/>
      <x:c r="E194" s="88" t="str">
        <x:v>Stage-specific tests</x:v>
      </x:c>
      <x:c r="F194" s="88" t="str">
        <x:v>tests</x:v>
      </x:c>
      <x:c r="G194" s="88" t="str">
        <x:v>test_runtime_parity_registry_playbooks.py</x:v>
      </x:c>
      <x:c r="H194" s="90" t="str">
        <x:v>Gate 13 parity tests for registry-backed playbook loading.</x:v>
      </x:c>
    </x:row>
    <x:row r="195" ht="17.08984375" hidden="0" customHeight="1">
      <x:c r="A195" s="89" t="str">
        <x:v>tests/test_second_wave_records_and_events.py</x:v>
      </x:c>
      <x:c r="B195" s="88" t="str">
        <x:v>test</x:v>
      </x:c>
      <x:c r="C195" s="88" t="str">
        <x:v>tests</x:v>
      </x:c>
      <x:c r="D195" s="88" t="str"/>
      <x:c r="E195" s="88" t="str">
        <x:v>Test / support</x:v>
      </x:c>
      <x:c r="F195" s="88" t="str">
        <x:v>tests</x:v>
      </x:c>
      <x:c r="G195" s="88" t="str">
        <x:v>test_second_wave_records_and_events.py</x:v>
      </x:c>
      <x:c r="H195" s="90" t="str">
        <x:v>Test second wave records and events</x:v>
      </x:c>
    </x:row>
    <x:row r="196" ht="17.08984375" hidden="0" customHeight="1">
      <x:c r="A196" s="89" t="str">
        <x:v>tests/test_session_clock.py</x:v>
      </x:c>
      <x:c r="B196" s="88" t="str">
        <x:v>test</x:v>
      </x:c>
      <x:c r="C196" s="88" t="str">
        <x:v>tests</x:v>
      </x:c>
      <x:c r="D196" s="88" t="str"/>
      <x:c r="E196" s="88" t="str">
        <x:v>S1 Temporal / calendar tests</x:v>
      </x:c>
      <x:c r="F196" s="88" t="str">
        <x:v>tests</x:v>
      </x:c>
      <x:c r="G196" s="88" t="str">
        <x:v>test_session_clock.py</x:v>
      </x:c>
      <x:c r="H196" s="90" t="str">
        <x:v>Test session clock</x:v>
      </x:c>
    </x:row>
    <x:row r="197" ht="17.08984375" hidden="0" customHeight="1">
      <x:c r="A197" s="89" t="str">
        <x:v>tests/test_successor_pack_anti_drift.py</x:v>
      </x:c>
      <x:c r="B197" s="88" t="str">
        <x:v>test</x:v>
      </x:c>
      <x:c r="C197" s="88" t="str">
        <x:v>tests</x:v>
      </x:c>
      <x:c r="D197" s="88" t="str"/>
      <x:c r="E197" s="88" t="str">
        <x:v>Test / support</x:v>
      </x:c>
      <x:c r="F197" s="88" t="str">
        <x:v>tests</x:v>
      </x:c>
      <x:c r="G197" s="88" t="str">
        <x:v>test_successor_pack_anti_drift.py</x:v>
      </x:c>
      <x:c r="H197" s="90" t="str">
        <x:v>Anti-drift checks for successor-pack closeout alignment.</x:v>
      </x:c>
    </x:row>
    <x:row r="198" ht="17.08984375" hidden="0" customHeight="1">
      <x:c r="A198" s="89" t="str">
        <x:v>tests/test_temporal_context_runtime.py</x:v>
      </x:c>
      <x:c r="B198" s="88" t="str">
        <x:v>test</x:v>
      </x:c>
      <x:c r="C198" s="88" t="str">
        <x:v>tests</x:v>
      </x:c>
      <x:c r="D198" s="88" t="str"/>
      <x:c r="E198" s="88" t="str">
        <x:v>S1 Temporal / calendar tests</x:v>
      </x:c>
      <x:c r="F198" s="88" t="str">
        <x:v>tests</x:v>
      </x:c>
      <x:c r="G198" s="88" t="str">
        <x:v>test_temporal_context_runtime.py</x:v>
      </x:c>
      <x:c r="H198" s="90" t="str">
        <x:v>Gate D tests for temporal desk-window logic.</x:v>
      </x:c>
    </x:row>
    <x:row r="199" ht="17.08984375" hidden="0" customHeight="1">
      <x:c r="A199" s="89" t="str">
        <x:v>tests/test_temporal_context_signal_state.py</x:v>
      </x:c>
      <x:c r="B199" s="88" t="str">
        <x:v>test</x:v>
      </x:c>
      <x:c r="C199" s="88" t="str">
        <x:v>tests</x:v>
      </x:c>
      <x:c r="D199" s="88" t="str"/>
      <x:c r="E199" s="88" t="str">
        <x:v>S1 Temporal / calendar tests</x:v>
      </x:c>
      <x:c r="F199" s="88" t="str">
        <x:v>tests</x:v>
      </x:c>
      <x:c r="G199" s="88" t="str">
        <x:v>test_temporal_context_signal_state.py</x:v>
      </x:c>
      <x:c r="H199" s="90" t="str">
        <x:v>Signal-aware Step-1 temporal-context coverage.</x:v>
      </x:c>
    </x:row>
    <x:row r="200" ht="17.08984375" hidden="0" customHeight="1">
      <x:c r="A200" s="89" t="str">
        <x:v>tests/test_tranche_a_posture_eligibility_contracts.py</x:v>
      </x:c>
      <x:c r="B200" s="88" t="str">
        <x:v>test</x:v>
      </x:c>
      <x:c r="C200" s="88" t="str">
        <x:v>tests</x:v>
      </x:c>
      <x:c r="D200" s="88" t="str"/>
      <x:c r="E200" s="88" t="str">
        <x:v>Test / support</x:v>
      </x:c>
      <x:c r="F200" s="88" t="str">
        <x:v>tests</x:v>
      </x:c>
      <x:c r="G200" s="88" t="str">
        <x:v>test_tranche_a_posture_eligibility_contracts.py</x:v>
      </x:c>
      <x:c r="H200" s="90" t="str">
        <x:v>Gate 16 tests for tranche-A posture and eligibility selector contracts.</x:v>
      </x:c>
    </x:row>
    <x:row r="201" ht="17.08984375" hidden="0" customHeight="1">
      <x:c r="A201" s="89" t="str">
        <x:v>tests/test_tranche_a_review_replay.py</x:v>
      </x:c>
      <x:c r="B201" s="88" t="str">
        <x:v>test</x:v>
      </x:c>
      <x:c r="C201" s="88" t="str">
        <x:v>tests</x:v>
      </x:c>
      <x:c r="D201" s="88" t="str"/>
      <x:c r="E201" s="88" t="str">
        <x:v>Review / replay tests</x:v>
      </x:c>
      <x:c r="F201" s="88" t="str">
        <x:v>tests</x:v>
      </x:c>
      <x:c r="G201" s="88" t="str">
        <x:v>test_tranche_a_review_replay.py</x:v>
      </x:c>
      <x:c r="H201" s="90" t="str">
        <x:v>Gate 17 tests for tranche-A review/replay lineage and honest maturity state.</x:v>
      </x:c>
    </x:row>
    <x:row r="202" ht="17.08984375" hidden="0" customHeight="1">
      <x:c r="A202" s="91" t="str">
        <x:v>tests/test_tranche_a_upstream_contracts.py</x:v>
      </x:c>
      <x:c r="B202" s="92" t="str">
        <x:v>test</x:v>
      </x:c>
      <x:c r="C202" s="92" t="str">
        <x:v>tests</x:v>
      </x:c>
      <x:c r="D202" s="92" t="str"/>
      <x:c r="E202" s="92" t="str">
        <x:v>Test / support</x:v>
      </x:c>
      <x:c r="F202" s="92" t="str">
        <x:v>tests</x:v>
      </x:c>
      <x:c r="G202" s="92" t="str">
        <x:v>test_tranche_a_upstream_contracts.py</x:v>
      </x:c>
      <x:c r="H202" s="93" t="str">
        <x:v>Gate 15 tests for tranche-A upstream detector contracts.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72" hidden="0" customWidth="1"/>
    <x:col min="2" max="2" width="97.56999969482422" hidden="0" customWidth="1"/>
    <x:col min="3" max="3" width="73" hidden="0" customWidth="1"/>
    <x:col min="4" max="4" width="10.430000305175781" hidden="0" customWidth="1"/>
  </x:cols>
  <x:sheetData>
    <x:row r="1" ht="17.08984375" hidden="0" customHeight="1">
      <x:c r="A1" s="75" t="str">
        <x:v>Repo Stage / Tree Summary</x:v>
      </x:c>
      <x:c r="B1" s="75"/>
      <x:c r="C1" s="75"/>
      <x:c r="D1" s="75"/>
    </x:row>
    <x:row r="2" ht="17.08984375" hidden="0" customHeight="1">
      <x:c r="A2" s="78" t="str">
        <x:v>This is the working map for where each file sits relative to the desk-cognition tree. Cross-cutting files support the tree without belonging to one cognition stage.</x:v>
      </x:c>
      <x:c r="B2" s="78"/>
      <x:c r="C2" s="78"/>
      <x:c r="D2" s="78"/>
    </x:row>
    <x:row r="3" ht="17.08984375" hidden="0" customHeight="1">
      <x:c r="A3"/>
      <x:c r="B3"/>
      <x:c r="C3"/>
      <x:c r="D3"/>
    </x:row>
    <x:row r="4" ht="17.08984375" hidden="0" customHeight="1">
      <x:c r="A4" s="84" t="str">
        <x:v>Stage / Bucket</x:v>
      </x:c>
      <x:c r="B4" s="85" t="str">
        <x:v>Meaning</x:v>
      </x:c>
      <x:c r="C4" s="85" t="str">
        <x:v>Why it exists</x:v>
      </x:c>
      <x:c r="D4" s="86" t="str">
        <x:v>File count</x:v>
      </x:c>
    </x:row>
    <x:row r="5" ht="17.08984375" hidden="0" customHeight="1">
      <x:c r="A5" s="89" t="str">
        <x:v>Stage 0 Calendar / event / precursor substrate</x:v>
      </x:c>
      <x:c r="B5" s="88" t="str">
        <x:v>Upstream calendar truth, event truth, precursor stitching, and data handoff into cognition.</x:v>
      </x:c>
      <x:c r="C5" s="88" t="str">
        <x:v>Provides lawful context before Stage 1 begins.</x:v>
      </x:c>
      <x:c r="D5" s="90" t="n">
        <x:v>8</x:v>
      </x:c>
    </x:row>
    <x:row r="6" ht="17.08984375" hidden="0" customHeight="1">
      <x:c r="A6" s="89" t="str">
        <x:v>Stage 1 Temporal context</x:v>
      </x:c>
      <x:c r="B6" s="88" t="str">
        <x:v>Clock, session, expiry/event proximity, and intraday temporal framing.</x:v>
      </x:c>
      <x:c r="C6" s="88" t="str">
        <x:v>Answers 'where are we now?' before downstream posture logic.</x:v>
      </x:c>
      <x:c r="D6" s="90" t="n">
        <x:v>3</x:v>
      </x:c>
    </x:row>
    <x:row r="7" ht="17.08984375" hidden="0" customHeight="1">
      <x:c r="A7" s="89" t="str">
        <x:v>Stage 2 Market regime</x:v>
      </x:c>
      <x:c r="B7" s="88" t="str">
        <x:v>Broad regime diagnosis from beta, breadth, rates, FX, volatility, and related state.</x:v>
      </x:c>
      <x:c r="C7" s="88" t="str">
        <x:v>Builds the market backdrop for single-name cognition.</x:v>
      </x:c>
      <x:c r="D7" s="90" t="n">
        <x:v>2</x:v>
      </x:c>
    </x:row>
    <x:row r="8" ht="17.08984375" hidden="0" customHeight="1">
      <x:c r="A8" s="89" t="str">
        <x:v>Stage 3 Options / flow</x:v>
      </x:c>
      <x:c r="B8" s="88" t="str">
        <x:v>Options surface, gamma, dealer pressure, skew, and chain-derived context.</x:v>
      </x:c>
      <x:c r="C8" s="88" t="str">
        <x:v>Captures options-first evidence that a pure price model would miss.</x:v>
      </x:c>
      <x:c r="D8" s="90" t="n">
        <x:v>1</x:v>
      </x:c>
    </x:row>
    <x:row r="9" ht="17.08984375" hidden="0" customHeight="1">
      <x:c r="A9" s="89" t="str">
        <x:v>Stage 4 Posture / risk permission</x:v>
      </x:c>
      <x:c r="B9" s="88" t="str">
        <x:v>Permissioning, sizing posture, risk heat, and deployable-capital stance.</x:v>
      </x:c>
      <x:c r="C9" s="88" t="str">
        <x:v>Converts diagnosis into allowed/not-allowed operating posture.</x:v>
      </x:c>
      <x:c r="D9" s="90" t="n">
        <x:v>3</x:v>
      </x:c>
    </x:row>
    <x:row r="10" ht="17.08984375" hidden="0" customHeight="1">
      <x:c r="A10" s="89" t="str">
        <x:v>Stage 4.5 State-policy / modifiers</x:v>
      </x:c>
      <x:c r="B10" s="88" t="str">
        <x:v>Lawful upstream deformation of downstream effective coefficients.</x:v>
      </x:c>
      <x:c r="C10" s="88" t="str">
        <x:v>Implements variable posture without fuzzy runtime reinvention.</x:v>
      </x:c>
      <x:c r="D10" s="90" t="n">
        <x:v>2</x:v>
      </x:c>
    </x:row>
    <x:row r="11" ht="17.08984375" hidden="0" customHeight="1">
      <x:c r="A11" s="89" t="str">
        <x:v>Stage 5 Playbook eligibility</x:v>
      </x:c>
      <x:c r="B11" s="88" t="str">
        <x:v>Route to valid families / setups given current state and posture.</x:v>
      </x:c>
      <x:c r="C11" s="88" t="str">
        <x:v>Selects what kind of playbook is even allowed.</x:v>
      </x:c>
      <x:c r="D11" s="90" t="n">
        <x:v>4</x:v>
      </x:c>
    </x:row>
    <x:row r="12" ht="17.08984375" hidden="0" customHeight="1">
      <x:c r="A12" s="89" t="str">
        <x:v>Stage 6 Expression / execution</x:v>
      </x:c>
      <x:c r="B12" s="88" t="str">
        <x:v>Entry expression, laddering, execution, and order-shape logic.</x:v>
      </x:c>
      <x:c r="C12" s="88" t="str">
        <x:v>Turns allowed playbooks into tradable expressions.</x:v>
      </x:c>
      <x:c r="D12" s="90" t="n">
        <x:v>3</x:v>
      </x:c>
    </x:row>
    <x:row r="13" ht="17.08984375" hidden="0" customHeight="1">
      <x:c r="A13" s="89" t="str">
        <x:v>Stage 7 Review / replay / promotion</x:v>
      </x:c>
      <x:c r="B13" s="88" t="str">
        <x:v>Explanation, replay, horizon discovery, candidate governance, and promotion law.</x:v>
      </x:c>
      <x:c r="C13" s="88" t="str">
        <x:v>Prevents hindsight theatre and keeps the loop auditable.</x:v>
      </x:c>
      <x:c r="D13" s="90" t="n">
        <x:v>13</x:v>
      </x:c>
    </x:row>
    <x:row r="14" ht="17.08984375" hidden="0" customHeight="1">
      <x:c r="A14" s="89" t="str">
        <x:v>Cross-cutting / infra</x:v>
      </x:c>
      <x:c r="B14" s="88" t="str">
        <x:v>Schemas, runtime orchestration, configs, DB, API, tooling, tests, migrations.</x:v>
      </x:c>
      <x:c r="C14" s="88" t="str">
        <x:v>Supports the tree without belonging to a single stage.</x:v>
      </x:c>
      <x:c r="D14" s="90" t="n">
        <x:v>0</x:v>
      </x:c>
    </x:row>
    <x:row r="15" ht="17.08984375" hidden="0" customHeight="1">
      <x:c r="A15" s="89" t="str"/>
      <x:c r="B15" s="88" t="str"/>
      <x:c r="C15" s="88" t="str"/>
      <x:c r="D15" s="90" t="str"/>
    </x:row>
    <x:row r="16" ht="17.08984375" hidden="0" customHeight="1">
      <x:c r="A16" s="89" t="str">
        <x:v>Role</x:v>
      </x:c>
      <x:c r="B16" s="88" t="str">
        <x:v>Count</x:v>
      </x:c>
      <x:c r="C16" s="88" t="str"/>
      <x:c r="D16" s="90" t="str"/>
    </x:row>
    <x:row r="17" ht="17.08984375" hidden="0" customHeight="1">
      <x:c r="A17" s="89" t="str">
        <x:v>migration</x:v>
      </x:c>
      <x:c r="B17" s="88" t="n">
        <x:v>6</x:v>
      </x:c>
      <x:c r="C17" s="88" t="str"/>
      <x:c r="D17" s="90" t="str"/>
    </x:row>
    <x:row r="18" ht="17.08984375" hidden="0" customHeight="1">
      <x:c r="A18" s="89" t="str">
        <x:v>script</x:v>
      </x:c>
      <x:c r="B18" s="88" t="n">
        <x:v>1</x:v>
      </x:c>
      <x:c r="C18" s="88" t="str"/>
      <x:c r="D18" s="90" t="str"/>
    </x:row>
    <x:row r="19" ht="17.08984375" hidden="0" customHeight="1">
      <x:c r="A19" s="89" t="str">
        <x:v>source</x:v>
      </x:c>
      <x:c r="B19" s="88" t="n">
        <x:v>105</x:v>
      </x:c>
      <x:c r="C19" s="88" t="str"/>
      <x:c r="D19" s="90" t="str"/>
    </x:row>
    <x:row r="20" ht="17.08984375" hidden="0" customHeight="1">
      <x:c r="A20" s="89" t="str">
        <x:v>test</x:v>
      </x:c>
      <x:c r="B20" s="88" t="n">
        <x:v>86</x:v>
      </x:c>
      <x:c r="C20" s="88" t="str"/>
      <x:c r="D20" s="90" t="str"/>
    </x:row>
    <x:row r="21" ht="17.08984375" hidden="0" customHeight="1">
      <x:c r="A21" s="89" t="str"/>
      <x:c r="B21" s="88" t="str"/>
      <x:c r="C21" s="88" t="str"/>
      <x:c r="D21" s="90" t="str"/>
    </x:row>
    <x:row r="22" ht="17.08984375" hidden="0" customHeight="1">
      <x:c r="A22" s="89" t="str">
        <x:v>Mapped Stage</x:v>
      </x:c>
      <x:c r="B22" s="88" t="str">
        <x:v>Key source files (examples)</x:v>
      </x:c>
      <x:c r="C22" s="88" t="str"/>
      <x:c r="D22" s="90" t="str"/>
    </x:row>
    <x:row r="23" ht="136.71875" hidden="0" customHeight="1">
      <x:c r="A23" s="89" t="str">
        <x:v>Stage 0 Calendar / event / precursor substrate</x:v>
      </x:c>
      <x:c r="B23" s="88" t="str">
        <x:v>src/nvda_desk/services/carry_handoff.py
src/nvda_desk/services/carry_market.py
src/nvda_desk/services/chain_to_cognition.py
src/nvda_desk/services/event_ingestion.py
src/nvda_desk/services/event_store.py
src/nvda_desk/services/events.py
src/nvda_desk/services/external_boundaries.py
src/nvda_desk/services/real_data_loader.py</x:v>
      </x:c>
      <x:c r="C23" s="88" t="str"/>
      <x:c r="D23" s="90" t="str"/>
    </x:row>
    <x:row r="24" ht="51.26953125" hidden="0" customHeight="1">
      <x:c r="A24" s="89" t="str">
        <x:v>Stage 1 Temporal context</x:v>
      </x:c>
      <x:c r="B24" s="88" t="str">
        <x:v>src/nvda_desk/domain/session_clock.py
src/nvda_desk/domain/temporal_state.py
src/nvda_desk/services/temporal_context.py</x:v>
      </x:c>
      <x:c r="C24" s="88" t="str"/>
      <x:c r="D24" s="90" t="str"/>
    </x:row>
    <x:row r="25" ht="34.1796875" hidden="0" customHeight="1">
      <x:c r="A25" s="89" t="str">
        <x:v>Stage 2 Market regime</x:v>
      </x:c>
      <x:c r="B25" s="88" t="str">
        <x:v>src/nvda_desk/services/market_regime_context.py
src/nvda_desk/services/market_state.py</x:v>
      </x:c>
      <x:c r="C25" s="88" t="str"/>
      <x:c r="D25" s="90" t="str"/>
    </x:row>
    <x:row r="26" ht="17.08984375" hidden="0" customHeight="1">
      <x:c r="A26" s="89" t="str">
        <x:v>Stage 3 Options / flow</x:v>
      </x:c>
      <x:c r="B26" s="88" t="str">
        <x:v>src/nvda_desk/services/options_flow_context.py</x:v>
      </x:c>
      <x:c r="C26" s="88" t="str"/>
      <x:c r="D26" s="90" t="str"/>
    </x:row>
    <x:row r="27" ht="51.26953125" hidden="0" customHeight="1">
      <x:c r="A27" s="89" t="str">
        <x:v>Stage 4 Posture / risk permission</x:v>
      </x:c>
      <x:c r="B27" s="88" t="str">
        <x:v>src/nvda_desk/services/capital_allocator.py
src/nvda_desk/services/posture_risk.py
src/nvda_desk/services/risk_gateway.py</x:v>
      </x:c>
      <x:c r="C27" s="88" t="str"/>
      <x:c r="D27" s="90" t="str"/>
    </x:row>
    <x:row r="28" ht="34.1796875" hidden="0" customHeight="1">
      <x:c r="A28" s="89" t="str">
        <x:v>Stage 4.5 State-policy / modifiers</x:v>
      </x:c>
      <x:c r="B28" s="88" t="str">
        <x:v>src/nvda_desk/schemas/state_policy.py
src/nvda_desk/services/state_conditioned_modifier.py</x:v>
      </x:c>
      <x:c r="C28" s="88" t="str"/>
      <x:c r="D28" s="90" t="str"/>
    </x:row>
    <x:row r="29" ht="68.359375" hidden="0" customHeight="1">
      <x:c r="A29" s="89" t="str">
        <x:v>Stage 5 Playbook eligibility</x:v>
      </x:c>
      <x:c r="B29" s="88" t="str">
        <x:v>src/nvda_desk/schemas/playbook_registry.py
src/nvda_desk/services/module_registry.py
src/nvda_desk/services/playbook_eligibility.py
src/nvda_desk/services/playbook_registry.py</x:v>
      </x:c>
      <x:c r="C29" s="88" t="str"/>
      <x:c r="D29" s="90" t="str"/>
    </x:row>
    <x:row r="30" ht="51.26953125" hidden="0" customHeight="1">
      <x:c r="A30" s="89" t="str">
        <x:v>Stage 6 Expression / execution</x:v>
      </x:c>
      <x:c r="B30" s="88" t="str">
        <x:v>src/nvda_desk/schemas/execution_records.py
src/nvda_desk/services/execution_expression.py
src/nvda_desk/services/execution_records.py</x:v>
      </x:c>
      <x:c r="C30" s="88" t="str"/>
      <x:c r="D30" s="90" t="str"/>
    </x:row>
    <x:row r="31" ht="136.71875" hidden="0" customHeight="1">
      <x:c r="A31" s="91" t="str">
        <x:v>Stage 7 Review / replay / promotion</x:v>
      </x:c>
      <x:c r="B31" s="92" t="str">
        <x:v>src/nvda_desk/schemas/replay.py
src/nvda_desk/schemas/research.py
src/nvda_desk/services/carry_replay.py
src/nvda_desk/services/evaluation_log.py
src/nvda_desk/services/experiment_log.py
src/nvda_desk/services/module_evaluators.py
src/nvda_desk/services/promotion.py
src/nvda_desk/services/replay.py</x:v>
      </x:c>
      <x:c r="C31" s="92" t="str"/>
      <x:c r="D31" s="93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72" hidden="0" customWidth="1"/>
    <x:col min="3" max="3" width="43" hidden="0" customWidth="1"/>
    <x:col min="4" max="4" width="28.139999389648438" hidden="0" customWidth="1"/>
    <x:col min="5" max="5" width="26" hidden="0" customWidth="1"/>
    <x:col min="6" max="6" width="22.709999084472656" hidden="0" customWidth="1"/>
    <x:col min="7" max="7" width="21.709999084472656" hidden="0" customWidth="1"/>
    <x:col min="8" max="8" width="29.43000030517578" hidden="0" customWidth="1"/>
    <x:col min="9" max="9" width="131.86000061035156" hidden="0" customWidth="1"/>
    <x:col min="10" max="10" width="104.70999908447266" hidden="0" customWidth="1"/>
    <x:col min="11" max="11" width="106.13999938964844" hidden="0" customWidth="1"/>
  </x:cols>
  <x:sheetData>
    <x:row r="1" ht="17.08984375" hidden="0" customHeight="1">
      <x:c r="A1" s="75" t="str">
        <x:v>Current Runtime Surfaces and Hard Bounds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</x:row>
    <x:row r="2" ht="17.08984375" hidden="0" customHeight="1">
      <x:c r="A2" s="78" t="str">
        <x:v>These are the repo-native mutable runtime surfaces already admitted by the state-policy ontology. Floors/caps are taken from code, not guessed.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</x:row>
    <x:row r="3" ht="17.08984375" hidden="0" customHeight="1">
      <x:c r="A3"/>
      <x:c r="B3"/>
      <x:c r="C3"/>
      <x:c r="D3"/>
      <x:c r="E3"/>
      <x:c r="F3"/>
      <x:c r="G3"/>
      <x:c r="H3"/>
      <x:c r="I3"/>
      <x:c r="J3"/>
      <x:c r="K3"/>
    </x:row>
    <x:row r="4" ht="17.08984375" hidden="0" customHeight="1">
      <x:c r="A4" s="84" t="str">
        <x:v>Source</x:v>
      </x:c>
      <x:c r="B4" s="85" t="str">
        <x:v>Surface / Coefficient ID</x:v>
      </x:c>
      <x:c r="C4" s="85" t="str">
        <x:v>Owner Stage</x:v>
      </x:c>
      <x:c r="D4" s="85" t="str">
        <x:v>Surface Class</x:v>
      </x:c>
      <x:c r="E4" s="85" t="str">
        <x:v>Baseline / Current Value</x:v>
      </x:c>
      <x:c r="F4" s="85" t="str">
        <x:v>Hard Floor / Test Min</x:v>
      </x:c>
      <x:c r="G4" s="85" t="str">
        <x:v>Hard Cap / Test Max</x:v>
      </x:c>
      <x:c r="H4" s="85" t="str">
        <x:v>Transform Family</x:v>
      </x:c>
      <x:c r="I4" s="85" t="str">
        <x:v>Upstream Drivers In Code</x:v>
      </x:c>
      <x:c r="J4" s="85" t="str">
        <x:v>Current Source of Truth</x:v>
      </x:c>
      <x:c r="K4" s="86" t="str">
        <x:v>Notes / Rationale</x:v>
      </x:c>
    </x:row>
    <x:row r="5" ht="17.08984375" hidden="0" customHeight="1">
      <x:c r="A5" s="89" t="str">
        <x:v>repo_runtime_surface</x:v>
      </x:c>
      <x:c r="B5" s="88" t="str">
        <x:v>entry_gate_score_floor</x:v>
      </x:c>
      <x:c r="C5" s="88" t="str">
        <x:v>eligibility</x:v>
      </x:c>
      <x:c r="D5" s="88" t="str">
        <x:v>mutable_runtime_surface</x:v>
      </x:c>
      <x:c r="E5" s="88" t="n">
        <x:v>0.65</x:v>
      </x:c>
      <x:c r="F5" s="88" t="n">
        <x:v>0.5</x:v>
      </x:c>
      <x:c r="G5" s="88" t="n">
        <x:v>0.85</x:v>
      </x:c>
      <x:c r="H5" s="88" t="str">
        <x:v>additive_offset</x:v>
      </x:c>
      <x:c r="I5" s="88" t="str">
        <x:v>phase_carry; event_imminent</x:v>
      </x:c>
      <x:c r="J5" s="88" t="str">
        <x:v>src/nvda_desk/schemas/state_policy.py + src/nvda_desk/services/state_conditioned_modifier.py</x:v>
      </x:c>
      <x:c r="K5" s="90" t="str">
        <x:v>Tighter phase/event states raise the minimum score required before a trade route is allowed.</x:v>
      </x:c>
    </x:row>
    <x:row r="6" ht="17.08984375" hidden="0" customHeight="1">
      <x:c r="A6" s="89" t="str">
        <x:v>repo_runtime_surface</x:v>
      </x:c>
      <x:c r="B6" s="88" t="str">
        <x:v>zone_score_threshold</x:v>
      </x:c>
      <x:c r="C6" s="88" t="str">
        <x:v>eligibility</x:v>
      </x:c>
      <x:c r="D6" s="88" t="str">
        <x:v>mutable_runtime_surface</x:v>
      </x:c>
      <x:c r="E6" s="88" t="n">
        <x:v>0.5</x:v>
      </x:c>
      <x:c r="F6" s="88" t="n">
        <x:v>0.35</x:v>
      </x:c>
      <x:c r="G6" s="88" t="n">
        <x:v>0.8</x:v>
      </x:c>
      <x:c r="H6" s="88" t="str">
        <x:v>baseline_only_so_far</x:v>
      </x:c>
      <x:c r="I6" s="88" t="str">
        <x:v>no active runtime modifier in current code</x:v>
      </x:c>
      <x:c r="J6" s="88" t="str">
        <x:v>src/nvda_desk/schemas/state_policy.py + src/nvda_desk/services/state_conditioned_modifier.py</x:v>
      </x:c>
      <x:c r="K6" s="90" t="str">
        <x:v>Exists as a mutable runtime surface in ontology, but current code still leaves it at baseline only.</x:v>
      </x:c>
    </x:row>
    <x:row r="7" ht="17.08984375" hidden="0" customHeight="1">
      <x:c r="A7" s="89" t="str">
        <x:v>repo_runtime_surface</x:v>
      </x:c>
      <x:c r="B7" s="88" t="str">
        <x:v>distance_to_vwap_soft_limit_pct</x:v>
      </x:c>
      <x:c r="C7" s="88" t="str">
        <x:v>execution</x:v>
      </x:c>
      <x:c r="D7" s="88" t="str">
        <x:v>mutable_runtime_surface</x:v>
      </x:c>
      <x:c r="E7" s="88" t="n">
        <x:v>1.5</x:v>
      </x:c>
      <x:c r="F7" s="88" t="n">
        <x:v>0.4</x:v>
      </x:c>
      <x:c r="G7" s="88" t="n">
        <x:v>3</x:v>
      </x:c>
      <x:c r="H7" s="88" t="str">
        <x:v>baseline_only_so_far</x:v>
      </x:c>
      <x:c r="I7" s="88" t="str">
        <x:v>no active runtime modifier in current code</x:v>
      </x:c>
      <x:c r="J7" s="88" t="str">
        <x:v>src/nvda_desk/schemas/state_policy.py + src/nvda_desk/services/state_conditioned_modifier.py</x:v>
      </x:c>
      <x:c r="K7" s="90" t="str">
        <x:v>Execution leash around extension vs anchor behaviour; current runtime keeps the baseline.</x:v>
      </x:c>
    </x:row>
    <x:row r="8" ht="17.08984375" hidden="0" customHeight="1">
      <x:c r="A8" s="89" t="str">
        <x:v>repo_runtime_surface</x:v>
      </x:c>
      <x:c r="B8" s="88" t="str">
        <x:v>risk_vix_caution_threshold</x:v>
      </x:c>
      <x:c r="C8" s="88" t="str">
        <x:v>posture</x:v>
      </x:c>
      <x:c r="D8" s="88" t="str">
        <x:v>mutable_runtime_surface</x:v>
      </x:c>
      <x:c r="E8" s="88" t="n">
        <x:v>24</x:v>
      </x:c>
      <x:c r="F8" s="88" t="n">
        <x:v>18</x:v>
      </x:c>
      <x:c r="G8" s="88" t="n">
        <x:v>40</x:v>
      </x:c>
      <x:c r="H8" s="88" t="str">
        <x:v>baseline_only_so_far</x:v>
      </x:c>
      <x:c r="I8" s="88" t="str">
        <x:v>no active runtime modifier in current code</x:v>
      </x:c>
      <x:c r="J8" s="88" t="str">
        <x:v>src/nvda_desk/schemas/state_policy.py + src/nvda_desk/services/state_conditioned_modifier.py</x:v>
      </x:c>
      <x:c r="K8" s="90" t="str">
        <x:v>Posture threshold; current runtime keeps the baseline even though ontology allows variation later.</x:v>
      </x:c>
    </x:row>
    <x:row r="9" ht="17.08984375" hidden="0" customHeight="1">
      <x:c r="A9" s="89" t="str">
        <x:v>repo_runtime_surface</x:v>
      </x:c>
      <x:c r="B9" s="88" t="str">
        <x:v>risk_vix_hot_threshold</x:v>
      </x:c>
      <x:c r="C9" s="88" t="str">
        <x:v>posture</x:v>
      </x:c>
      <x:c r="D9" s="88" t="str">
        <x:v>mutable_runtime_surface</x:v>
      </x:c>
      <x:c r="E9" s="88" t="n">
        <x:v>32</x:v>
      </x:c>
      <x:c r="F9" s="88" t="n">
        <x:v>24</x:v>
      </x:c>
      <x:c r="G9" s="88" t="n">
        <x:v>50</x:v>
      </x:c>
      <x:c r="H9" s="88" t="str">
        <x:v>baseline_only_so_far</x:v>
      </x:c>
      <x:c r="I9" s="88" t="str">
        <x:v>no active runtime modifier in current code</x:v>
      </x:c>
      <x:c r="J9" s="88" t="str">
        <x:v>src/nvda_desk/schemas/state_policy.py + src/nvda_desk/services/state_conditioned_modifier.py</x:v>
      </x:c>
      <x:c r="K9" s="90" t="str">
        <x:v>Posture threshold; current runtime keeps the baseline even though ontology allows variation later.</x:v>
      </x:c>
    </x:row>
    <x:row r="10" ht="17.08984375" hidden="0" customHeight="1">
      <x:c r="A10" s="89" t="str">
        <x:v>repo_runtime_surface</x:v>
      </x:c>
      <x:c r="B10" s="88" t="str">
        <x:v>max_risk_per_trade</x:v>
      </x:c>
      <x:c r="C10" s="88" t="str">
        <x:v>posture</x:v>
      </x:c>
      <x:c r="D10" s="88" t="str">
        <x:v>mutable_runtime_surface</x:v>
      </x:c>
      <x:c r="E10" s="88" t="n">
        <x:v>0.35</x:v>
      </x:c>
      <x:c r="F10" s="88" t="n">
        <x:v>0.1</x:v>
      </x:c>
      <x:c r="G10" s="88" t="n">
        <x:v>0.55</x:v>
      </x:c>
      <x:c r="H10" s="88" t="str">
        <x:v>clamp</x:v>
      </x:c>
      <x:c r="I10" s="88" t="str">
        <x:v>negative_gamma_stress clamps cap</x:v>
      </x:c>
      <x:c r="J10" s="88" t="str">
        <x:v>src/nvda_desk/schemas/state_policy.py + src/nvda_desk/services/state_conditioned_modifier.py</x:v>
      </x:c>
      <x:c r="K10" s="90" t="str">
        <x:v>Hard cap gets reduced under options stress instead of allowing arbitrary expansion.</x:v>
      </x:c>
    </x:row>
    <x:row r="11" ht="17.08984375" hidden="0" customHeight="1">
      <x:c r="A11" s="89" t="str">
        <x:v>repo_runtime_surface</x:v>
      </x:c>
      <x:c r="B11" s="88" t="str">
        <x:v>target_fresh_deployable_pct</x:v>
      </x:c>
      <x:c r="C11" s="88" t="str">
        <x:v>posture</x:v>
      </x:c>
      <x:c r="D11" s="88" t="str">
        <x:v>mutable_runtime_surface</x:v>
      </x:c>
      <x:c r="E11" s="88" t="n">
        <x:v>55</x:v>
      </x:c>
      <x:c r="F11" s="88" t="n">
        <x:v>0</x:v>
      </x:c>
      <x:c r="G11" s="88" t="n">
        <x:v>55</x:v>
      </x:c>
      <x:c r="H11" s="88" t="str">
        <x:v>multiplicative_scale</x:v>
      </x:c>
      <x:c r="I11" s="88" t="str">
        <x:v>phase_carry; event_imminent; pin_risk; negative_gamma_stress; precursor posture states; stressed+weak breadth regime</x:v>
      </x:c>
      <x:c r="J11" s="88" t="str">
        <x:v>src/nvda_desk/schemas/state_policy.py + src/nvda_desk/services/state_conditioned_modifier.py</x:v>
      </x:c>
      <x:c r="K11" s="90" t="str">
        <x:v>Main posture dial currently being lawfully deformed by upstream state.</x:v>
      </x:c>
    </x:row>
    <x:row r="12" ht="17.08984375" hidden="0" customHeight="1">
      <x:c r="A12" s="91" t="str">
        <x:v>repo_runtime_surface</x:v>
      </x:c>
      <x:c r="B12" s="92" t="str">
        <x:v>hedge_required</x:v>
      </x:c>
      <x:c r="C12" s="92" t="str">
        <x:v>posture</x:v>
      </x:c>
      <x:c r="D12" s="92" t="str">
        <x:v>mutable_runtime_surface</x:v>
      </x:c>
      <x:c r="E12" s="97" t="b">
        <x:v>0</x:v>
      </x:c>
      <x:c r="F12" s="92" t="str">
        <x:v>FALSE_ONLY</x:v>
      </x:c>
      <x:c r="G12" s="92" t="str">
        <x:v>TRUE_ONLY</x:v>
      </x:c>
      <x:c r="H12" s="92" t="str">
        <x:v>suppression_veto(boolean)</x:v>
      </x:c>
      <x:c r="I12" s="92" t="str">
        <x:v>negative_gamma_stress</x:v>
      </x:c>
      <x:c r="J12" s="92" t="str">
        <x:v>src/nvda_desk/schemas/state_policy.py + src/nvda_desk/services/state_conditioned_modifier.py</x:v>
      </x:c>
      <x:c r="K12" s="93" t="str">
        <x:v>Boolean veto/overlay switch rather than a free numeric weight.</x:v>
      </x:c>
    </x:row>
    <x:row r="15" ht="17.08984375" hidden="0" customHeight="1">
      <x:c r="A15" s="98" t="str">
        <x:v>Prohibited Runtime Surfaces (must stay fixed)</x:v>
      </x:c>
      <x:c r="B15" s="98"/>
      <x:c r="C15" s="98"/>
    </x:row>
    <x:row r="16" ht="17.08984375" hidden="0" customHeight="1">
      <x:c r="A16" s="99" t="str">
        <x:v>Prohibited Surface ID</x:v>
      </x:c>
      <x:c r="B16" s="99" t="str">
        <x:v>Why It Must Stay Fixed</x:v>
      </x:c>
      <x:c r="C16" s="99" t="str">
        <x:v>Current Source of Truth</x:v>
      </x:c>
    </x:row>
    <x:row r="17" ht="17.08984375" hidden="0" customHeight="1">
      <x:c r="A17" s="88" t="str">
        <x:v>desk_cognition_grammar_order</x:v>
      </x:c>
      <x:c r="B17" s="88" t="str">
        <x:v>Changing stage order would change the machine, not a coefficient.</x:v>
      </x:c>
      <x:c r="C17" s="88" t="str">
        <x:v>src/nvda_desk/schemas/state_policy.py</x:v>
      </x:c>
    </x:row>
    <x:row r="18" ht="17.08984375" hidden="0" customHeight="1">
      <x:c r="A18" s="88" t="str">
        <x:v>stage_owner_assignments</x:v>
      </x:c>
      <x:c r="B18" s="88" t="str">
        <x:v>Owner-stage drift breaks auditability and review law.</x:v>
      </x:c>
      <x:c r="C18" s="88" t="str">
        <x:v>src/nvda_desk/schemas/state_policy.py</x:v>
      </x:c>
    </x:row>
    <x:row r="19" ht="17.08984375" hidden="0" customHeight="1">
      <x:c r="A19" s="88" t="str">
        <x:v>baseline_coefficient_values</x:v>
      </x:c>
      <x:c r="B19" s="88" t="str">
        <x:v>Baselines are release-time truths, not runtime inventions.</x:v>
      </x:c>
      <x:c r="C19" s="88" t="str">
        <x:v>src/nvda_desk/schemas/state_policy.py</x:v>
      </x:c>
    </x:row>
    <x:row r="20" ht="17.08984375" hidden="0" customHeight="1">
      <x:c r="A20" s="88" t="str">
        <x:v>calendar_truth</x:v>
      </x:c>
      <x:c r="B20" s="88" t="str">
        <x:v>Facts like session dates and event times are not tunable.</x:v>
      </x:c>
      <x:c r="C20" s="88" t="str">
        <x:v>src/nvda_desk/schemas/state_policy.py</x:v>
      </x:c>
    </x:row>
    <x:row r="21" ht="17.08984375" hidden="0" customHeight="1">
      <x:c r="A21" s="88" t="str">
        <x:v>event_identity</x:v>
      </x:c>
      <x:c r="B21" s="88" t="str">
        <x:v>An event is what it is; runtime may react, not rename it.</x:v>
      </x:c>
      <x:c r="C21" s="88" t="str">
        <x:v>src/nvda_desk/schemas/state_policy.py</x:v>
      </x:c>
    </x:row>
    <x:row r="22" ht="17.08984375" hidden="0" customHeight="1">
      <x:c r="A22" s="88" t="str">
        <x:v>raw_market_facts</x:v>
      </x:c>
      <x:c r="B22" s="88" t="str">
        <x:v>Raw facts should be captured, not rescaled by posture logic.</x:v>
      </x:c>
      <x:c r="C22" s="88" t="str">
        <x:v>src/nvda_desk/schemas/state_policy.py</x:v>
      </x:c>
    </x:row>
    <x:row r="23" ht="17.08984375" hidden="0" customHeight="1">
      <x:c r="A23" s="88" t="str">
        <x:v>playbook_registry_membership</x:v>
      </x:c>
      <x:c r="B23" s="88" t="str">
        <x:v>Whether a playbook exists is a release decision.</x:v>
      </x:c>
      <x:c r="C23" s="88" t="str">
        <x:v>src/nvda_desk/schemas/state_policy.py</x:v>
      </x:c>
    </x:row>
    <x:row r="24" ht="17.08984375" hidden="0" customHeight="1">
      <x:c r="A24" s="88" t="str">
        <x:v>review_packet_lineage</x:v>
      </x:c>
      <x:c r="B24" s="88" t="str">
        <x:v>Review lineage must remain literal and reconstructible.</x:v>
      </x:c>
      <x:c r="C24" s="88" t="str">
        <x:v>src/nvda_desk/schemas/state_policy.py</x:v>
      </x:c>
    </x:row>
  </x:sheetData>
  <x:mergeCells>
    <x:mergeCell ref="A1:K1"/>
    <x:mergeCell ref="A2:K2"/>
    <x:mergeCell ref="A15:C15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11.57000732421875" hidden="0" customWidth="1"/>
    <x:col min="2" max="2" width="44.709999084472656" hidden="0" customWidth="1"/>
    <x:col min="3" max="3" width="18.43000030517578" hidden="0" customWidth="1"/>
    <x:col min="4" max="4" width="36" hidden="0" customWidth="1"/>
    <x:col min="5" max="5" width="38.709999084472656" hidden="0" customWidth="1"/>
    <x:col min="6" max="6" width="14.710000038146973" hidden="0" customWidth="1"/>
    <x:col min="7" max="7" width="13.140000343322754" hidden="0" customWidth="1"/>
    <x:col min="8" max="8" width="12.710000038146973" hidden="0" customWidth="1"/>
    <x:col min="9" max="9" width="18.43000030517578" hidden="0" customWidth="1"/>
    <x:col min="10" max="10" width="29.43000030517578" hidden="0" customWidth="1"/>
    <x:col min="11" max="11" width="12.140000343322754" hidden="0" customWidth="1"/>
    <x:col min="12" max="12" width="106.13999938964844" hidden="0" customWidth="1"/>
  </x:cols>
  <x:sheetData>
    <x:row r="1" ht="17.08984375" hidden="0" customHeight="1">
      <x:c r="A1" s="75" t="str">
        <x:v>Coefficient / Threshold Universe Index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</x:row>
    <x:row r="2" ht="17.08984375" hidden="0" customHeight="1">
      <x:c r="A2" s="78" t="str">
        <x:v>Working registry of anything that currently looks like a tunable or bounded numeric/boolean surface: repo runtime surfaces, workbook temporal thresholds, and legacy example-config coefficients.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3" ht="17.08984375" hidden="0" customHeight="1">
      <x:c r="A3"/>
      <x:c r="B3"/>
      <x:c r="C3"/>
      <x:c r="D3"/>
      <x:c r="E3"/>
      <x:c r="F3"/>
      <x:c r="G3"/>
      <x:c r="H3"/>
      <x:c r="I3"/>
      <x:c r="J3"/>
      <x:c r="K3"/>
      <x:c r="L3"/>
    </x:row>
    <x:row r="4" ht="17.08984375" hidden="0" customHeight="1">
      <x:c r="A4" s="84" t="str">
        <x:v>Universe Type</x:v>
      </x:c>
      <x:c r="B4" s="85" t="str">
        <x:v>Source</x:v>
      </x:c>
      <x:c r="C4" s="85" t="str">
        <x:v>Owner / Layer</x:v>
      </x:c>
      <x:c r="D4" s="85" t="str">
        <x:v>Owner Module or Surface</x:v>
      </x:c>
      <x:c r="E4" s="85" t="str">
        <x:v>Coefficient / Threshold</x:v>
      </x:c>
      <x:c r="F4" s="85" t="str">
        <x:v>Current Value</x:v>
      </x:c>
      <x:c r="G4" s="85" t="str">
        <x:v>Min / Floor</x:v>
      </x:c>
      <x:c r="H4" s="85" t="str">
        <x:v>Max / Cap</x:v>
      </x:c>
      <x:c r="I4" s="85" t="str">
        <x:v>Step / Resolution</x:v>
      </x:c>
      <x:c r="J4" s="85" t="str">
        <x:v>Transform / Band Type</x:v>
      </x:c>
      <x:c r="K4" s="85" t="str">
        <x:v>Confidence</x:v>
      </x:c>
      <x:c r="L4" s="86" t="str">
        <x:v>Notes</x:v>
      </x:c>
    </x:row>
    <x:row r="5" ht="17.08984375" hidden="0" customHeight="1">
      <x:c r="A5" s="89" t="str">
        <x:v>repo_runtime_surface</x:v>
      </x:c>
      <x:c r="B5" s="88" t="str">
        <x:v>repo_runtime_surface</x:v>
      </x:c>
      <x:c r="C5" s="88" t="str">
        <x:v>eligibility</x:v>
      </x:c>
      <x:c r="D5" s="88" t="str">
        <x:v>entry_gate_score_floor</x:v>
      </x:c>
      <x:c r="E5" s="88" t="str">
        <x:v>entry_gate_score_floor</x:v>
      </x:c>
      <x:c r="F5" s="88" t="n">
        <x:v>0.65</x:v>
      </x:c>
      <x:c r="G5" s="88" t="n">
        <x:v>0.5</x:v>
      </x:c>
      <x:c r="H5" s="88" t="n">
        <x:v>0.85</x:v>
      </x:c>
      <x:c r="I5" s="88" t="str"/>
      <x:c r="J5" s="88" t="str">
        <x:v>additive_offset</x:v>
      </x:c>
      <x:c r="K5" s="88" t="str">
        <x:v>High</x:v>
      </x:c>
      <x:c r="L5" s="90" t="str">
        <x:v>Tighter phase/event states raise the minimum score required before a trade route is allowed.</x:v>
      </x:c>
    </x:row>
    <x:row r="6" ht="17.08984375" hidden="0" customHeight="1">
      <x:c r="A6" s="89" t="str">
        <x:v>repo_runtime_surface</x:v>
      </x:c>
      <x:c r="B6" s="88" t="str">
        <x:v>repo_runtime_surface</x:v>
      </x:c>
      <x:c r="C6" s="88" t="str">
        <x:v>eligibility</x:v>
      </x:c>
      <x:c r="D6" s="88" t="str">
        <x:v>zone_score_threshold</x:v>
      </x:c>
      <x:c r="E6" s="88" t="str">
        <x:v>zone_score_threshold</x:v>
      </x:c>
      <x:c r="F6" s="88" t="n">
        <x:v>0.5</x:v>
      </x:c>
      <x:c r="G6" s="88" t="n">
        <x:v>0.35</x:v>
      </x:c>
      <x:c r="H6" s="88" t="n">
        <x:v>0.8</x:v>
      </x:c>
      <x:c r="I6" s="88" t="str"/>
      <x:c r="J6" s="88" t="str">
        <x:v>baseline_only_so_far</x:v>
      </x:c>
      <x:c r="K6" s="88" t="str">
        <x:v>High</x:v>
      </x:c>
      <x:c r="L6" s="90" t="str">
        <x:v>Exists as a mutable runtime surface in ontology, but current code still leaves it at baseline only.</x:v>
      </x:c>
    </x:row>
    <x:row r="7" ht="17.08984375" hidden="0" customHeight="1">
      <x:c r="A7" s="89" t="str">
        <x:v>repo_runtime_surface</x:v>
      </x:c>
      <x:c r="B7" s="88" t="str">
        <x:v>repo_runtime_surface</x:v>
      </x:c>
      <x:c r="C7" s="88" t="str">
        <x:v>execution</x:v>
      </x:c>
      <x:c r="D7" s="88" t="str">
        <x:v>distance_to_vwap_soft_limit_pct</x:v>
      </x:c>
      <x:c r="E7" s="88" t="str">
        <x:v>distance_to_vwap_soft_limit_pct</x:v>
      </x:c>
      <x:c r="F7" s="88" t="n">
        <x:v>1.5</x:v>
      </x:c>
      <x:c r="G7" s="88" t="n">
        <x:v>0.4</x:v>
      </x:c>
      <x:c r="H7" s="88" t="n">
        <x:v>3</x:v>
      </x:c>
      <x:c r="I7" s="88" t="str"/>
      <x:c r="J7" s="88" t="str">
        <x:v>baseline_only_so_far</x:v>
      </x:c>
      <x:c r="K7" s="88" t="str">
        <x:v>High</x:v>
      </x:c>
      <x:c r="L7" s="90" t="str">
        <x:v>Execution leash around extension vs anchor behaviour; current runtime keeps the baseline.</x:v>
      </x:c>
    </x:row>
    <x:row r="8" ht="17.08984375" hidden="0" customHeight="1">
      <x:c r="A8" s="89" t="str">
        <x:v>repo_runtime_surface</x:v>
      </x:c>
      <x:c r="B8" s="88" t="str">
        <x:v>repo_runtime_surface</x:v>
      </x:c>
      <x:c r="C8" s="88" t="str">
        <x:v>posture</x:v>
      </x:c>
      <x:c r="D8" s="88" t="str">
        <x:v>risk_vix_caution_threshold</x:v>
      </x:c>
      <x:c r="E8" s="88" t="str">
        <x:v>risk_vix_caution_threshold</x:v>
      </x:c>
      <x:c r="F8" s="88" t="n">
        <x:v>24</x:v>
      </x:c>
      <x:c r="G8" s="88" t="n">
        <x:v>18</x:v>
      </x:c>
      <x:c r="H8" s="88" t="n">
        <x:v>40</x:v>
      </x:c>
      <x:c r="I8" s="88" t="str"/>
      <x:c r="J8" s="88" t="str">
        <x:v>baseline_only_so_far</x:v>
      </x:c>
      <x:c r="K8" s="88" t="str">
        <x:v>High</x:v>
      </x:c>
      <x:c r="L8" s="90" t="str">
        <x:v>Posture threshold; current runtime keeps the baseline even though ontology allows variation later.</x:v>
      </x:c>
    </x:row>
    <x:row r="9" ht="17.08984375" hidden="0" customHeight="1">
      <x:c r="A9" s="89" t="str">
        <x:v>repo_runtime_surface</x:v>
      </x:c>
      <x:c r="B9" s="88" t="str">
        <x:v>repo_runtime_surface</x:v>
      </x:c>
      <x:c r="C9" s="88" t="str">
        <x:v>posture</x:v>
      </x:c>
      <x:c r="D9" s="88" t="str">
        <x:v>risk_vix_hot_threshold</x:v>
      </x:c>
      <x:c r="E9" s="88" t="str">
        <x:v>risk_vix_hot_threshold</x:v>
      </x:c>
      <x:c r="F9" s="88" t="n">
        <x:v>32</x:v>
      </x:c>
      <x:c r="G9" s="88" t="n">
        <x:v>24</x:v>
      </x:c>
      <x:c r="H9" s="88" t="n">
        <x:v>50</x:v>
      </x:c>
      <x:c r="I9" s="88" t="str"/>
      <x:c r="J9" s="88" t="str">
        <x:v>baseline_only_so_far</x:v>
      </x:c>
      <x:c r="K9" s="88" t="str">
        <x:v>High</x:v>
      </x:c>
      <x:c r="L9" s="90" t="str">
        <x:v>Posture threshold; current runtime keeps the baseline even though ontology allows variation later.</x:v>
      </x:c>
    </x:row>
    <x:row r="10" ht="17.08984375" hidden="0" customHeight="1">
      <x:c r="A10" s="89" t="str">
        <x:v>repo_runtime_surface</x:v>
      </x:c>
      <x:c r="B10" s="88" t="str">
        <x:v>repo_runtime_surface</x:v>
      </x:c>
      <x:c r="C10" s="88" t="str">
        <x:v>posture</x:v>
      </x:c>
      <x:c r="D10" s="88" t="str">
        <x:v>max_risk_per_trade</x:v>
      </x:c>
      <x:c r="E10" s="88" t="str">
        <x:v>max_risk_per_trade</x:v>
      </x:c>
      <x:c r="F10" s="88" t="n">
        <x:v>0.35</x:v>
      </x:c>
      <x:c r="G10" s="88" t="n">
        <x:v>0.1</x:v>
      </x:c>
      <x:c r="H10" s="88" t="n">
        <x:v>0.55</x:v>
      </x:c>
      <x:c r="I10" s="88" t="str"/>
      <x:c r="J10" s="88" t="str">
        <x:v>clamp</x:v>
      </x:c>
      <x:c r="K10" s="88" t="str">
        <x:v>High</x:v>
      </x:c>
      <x:c r="L10" s="90" t="str">
        <x:v>Hard cap gets reduced under options stress instead of allowing arbitrary expansion.</x:v>
      </x:c>
    </x:row>
    <x:row r="11" ht="17.08984375" hidden="0" customHeight="1">
      <x:c r="A11" s="89" t="str">
        <x:v>repo_runtime_surface</x:v>
      </x:c>
      <x:c r="B11" s="88" t="str">
        <x:v>repo_runtime_surface</x:v>
      </x:c>
      <x:c r="C11" s="88" t="str">
        <x:v>posture</x:v>
      </x:c>
      <x:c r="D11" s="88" t="str">
        <x:v>target_fresh_deployable_pct</x:v>
      </x:c>
      <x:c r="E11" s="88" t="str">
        <x:v>target_fresh_deployable_pct</x:v>
      </x:c>
      <x:c r="F11" s="88" t="n">
        <x:v>55</x:v>
      </x:c>
      <x:c r="G11" s="88" t="n">
        <x:v>0</x:v>
      </x:c>
      <x:c r="H11" s="88" t="n">
        <x:v>55</x:v>
      </x:c>
      <x:c r="I11" s="88" t="str"/>
      <x:c r="J11" s="88" t="str">
        <x:v>multiplicative_scale</x:v>
      </x:c>
      <x:c r="K11" s="88" t="str">
        <x:v>High</x:v>
      </x:c>
      <x:c r="L11" s="90" t="str">
        <x:v>Main posture dial currently being lawfully deformed by upstream state.</x:v>
      </x:c>
    </x:row>
    <x:row r="12" ht="17.08984375" hidden="0" customHeight="1">
      <x:c r="A12" s="89" t="str">
        <x:v>repo_runtime_surface</x:v>
      </x:c>
      <x:c r="B12" s="88" t="str">
        <x:v>repo_runtime_surface</x:v>
      </x:c>
      <x:c r="C12" s="88" t="str">
        <x:v>posture</x:v>
      </x:c>
      <x:c r="D12" s="88" t="str">
        <x:v>hedge_required</x:v>
      </x:c>
      <x:c r="E12" s="88" t="str">
        <x:v>hedge_required</x:v>
      </x:c>
      <x:c r="F12" s="96" t="b">
        <x:v>0</x:v>
      </x:c>
      <x:c r="G12" s="88" t="str">
        <x:v>FALSE_ONLY</x:v>
      </x:c>
      <x:c r="H12" s="88" t="str">
        <x:v>TRUE_ONLY</x:v>
      </x:c>
      <x:c r="I12" s="88" t="str"/>
      <x:c r="J12" s="88" t="str">
        <x:v>suppression_veto(boolean)</x:v>
      </x:c>
      <x:c r="K12" s="88" t="str">
        <x:v>High</x:v>
      </x:c>
      <x:c r="L12" s="90" t="str">
        <x:v>Boolean veto/overlay switch rather than a free numeric weight.</x:v>
      </x:c>
    </x:row>
    <x:row r="13" ht="17.08984375" hidden="0" customHeight="1">
      <x:c r="A13" s="89" t="str">
        <x:v>workbook_temporal_threshold</x:v>
      </x:c>
      <x:c r="B13" s="88" t="str">
        <x:v>Temporal_Step1_Framework</x:v>
      </x:c>
      <x:c r="C13" s="88" t="str">
        <x:v>Temporal / Step1</x:v>
      </x:c>
      <x:c r="D13" s="88" t="str">
        <x:v>Temporal_Step1_Framework</x:v>
      </x:c>
      <x:c r="E13" s="88" t="str">
        <x:v>open_disorder_relvol_min</x:v>
      </x:c>
      <x:c r="F13" s="88" t="n">
        <x:v>1.4</x:v>
      </x:c>
      <x:c r="G13" s="88" t="n">
        <x:v>1.1</x:v>
      </x:c>
      <x:c r="H13" s="88" t="n">
        <x:v>2</x:v>
      </x:c>
      <x:c r="I13" s="88" t="str"/>
      <x:c r="J13" s="88" t="str">
        <x:v>starter_test_band</x:v>
      </x:c>
      <x:c r="K13" s="88" t="str">
        <x:v>Medium</x:v>
      </x:c>
      <x:c r="L13" s="90" t="str">
        <x:v>Open disorder should need more than normal activity, but not a fantasy level.</x:v>
      </x:c>
    </x:row>
    <x:row r="14" ht="17.08984375" hidden="0" customHeight="1">
      <x:c r="A14" s="89" t="str">
        <x:v>workbook_temporal_threshold</x:v>
      </x:c>
      <x:c r="B14" s="88" t="str">
        <x:v>Temporal_Step1_Framework</x:v>
      </x:c>
      <x:c r="C14" s="88" t="str">
        <x:v>Temporal / Step1</x:v>
      </x:c>
      <x:c r="D14" s="88" t="str">
        <x:v>Temporal_Step1_Framework</x:v>
      </x:c>
      <x:c r="E14" s="88" t="str">
        <x:v>open_disorder_rv5_bps_min</x:v>
      </x:c>
      <x:c r="F14" s="88" t="n">
        <x:v>80</x:v>
      </x:c>
      <x:c r="G14" s="88" t="n">
        <x:v>40</x:v>
      </x:c>
      <x:c r="H14" s="88" t="n">
        <x:v>150</x:v>
      </x:c>
      <x:c r="I14" s="88" t="str"/>
      <x:c r="J14" s="88" t="str">
        <x:v>starter_test_band</x:v>
      </x:c>
      <x:c r="K14" s="88" t="str">
        <x:v>Medium</x:v>
      </x:c>
      <x:c r="L14" s="90" t="str">
        <x:v>The open can be noisy; use a wide but plausible realised-vol band for testing.</x:v>
      </x:c>
    </x:row>
    <x:row r="15" ht="17.08984375" hidden="0" customHeight="1">
      <x:c r="A15" s="89" t="str">
        <x:v>workbook_temporal_threshold</x:v>
      </x:c>
      <x:c r="B15" s="88" t="str">
        <x:v>Temporal_Step1_Framework</x:v>
      </x:c>
      <x:c r="C15" s="88" t="str">
        <x:v>Temporal / Step1</x:v>
      </x:c>
      <x:c r="D15" s="88" t="str">
        <x:v>Temporal_Step1_Framework</x:v>
      </x:c>
      <x:c r="E15" s="88" t="str">
        <x:v>open_disorder_vwap_dist_bps_min</x:v>
      </x:c>
      <x:c r="F15" s="88" t="n">
        <x:v>60</x:v>
      </x:c>
      <x:c r="G15" s="88" t="n">
        <x:v>25</x:v>
      </x:c>
      <x:c r="H15" s="88" t="n">
        <x:v>120</x:v>
      </x:c>
      <x:c r="I15" s="88" t="str"/>
      <x:c r="J15" s="88" t="str">
        <x:v>starter_test_band</x:v>
      </x:c>
      <x:c r="K15" s="88" t="str">
        <x:v>Medium</x:v>
      </x:c>
      <x:c r="L15" s="90" t="str">
        <x:v>Unresolved open should need visible extension away from VWAP, not tiny drift.</x:v>
      </x:c>
    </x:row>
    <x:row r="16" ht="17.08984375" hidden="0" customHeight="1">
      <x:c r="A16" s="89" t="str">
        <x:v>workbook_temporal_threshold</x:v>
      </x:c>
      <x:c r="B16" s="88" t="str">
        <x:v>Temporal_Step1_Framework</x:v>
      </x:c>
      <x:c r="C16" s="88" t="str">
        <x:v>Temporal / Step1</x:v>
      </x:c>
      <x:c r="D16" s="88" t="str">
        <x:v>Temporal_Step1_Framework</x:v>
      </x:c>
      <x:c r="E16" s="88" t="str">
        <x:v>anchor_vwap_dist_bps_max</x:v>
      </x:c>
      <x:c r="F16" s="88" t="n">
        <x:v>35</x:v>
      </x:c>
      <x:c r="G16" s="88" t="n">
        <x:v>10</x:v>
      </x:c>
      <x:c r="H16" s="88" t="n">
        <x:v>60</x:v>
      </x:c>
      <x:c r="I16" s="88" t="str"/>
      <x:c r="J16" s="88" t="str">
        <x:v>starter_test_band</x:v>
      </x:c>
      <x:c r="K16" s="88" t="str">
        <x:v>Medium</x:v>
      </x:c>
      <x:c r="L16" s="90" t="str">
        <x:v>Anchoring should stay close to fair value, but the tolerance can vary with volatility.</x:v>
      </x:c>
    </x:row>
    <x:row r="17" ht="17.08984375" hidden="0" customHeight="1">
      <x:c r="A17" s="89" t="str">
        <x:v>workbook_temporal_threshold</x:v>
      </x:c>
      <x:c r="B17" s="88" t="str">
        <x:v>Temporal_Step1_Framework</x:v>
      </x:c>
      <x:c r="C17" s="88" t="str">
        <x:v>Temporal / Step1</x:v>
      </x:c>
      <x:c r="D17" s="88" t="str">
        <x:v>Temporal_Step1_Framework</x:v>
      </x:c>
      <x:c r="E17" s="88" t="str">
        <x:v>anchor_rv5_bps_max</x:v>
      </x:c>
      <x:c r="F17" s="88" t="n">
        <x:v>60</x:v>
      </x:c>
      <x:c r="G17" s="88" t="n">
        <x:v>25</x:v>
      </x:c>
      <x:c r="H17" s="88" t="n">
        <x:v>90</x:v>
      </x:c>
      <x:c r="I17" s="88" t="str"/>
      <x:c r="J17" s="88" t="str">
        <x:v>starter_test_band</x:v>
      </x:c>
      <x:c r="K17" s="88" t="str">
        <x:v>Medium</x:v>
      </x:c>
      <x:c r="L17" s="90" t="str">
        <x:v>Anchoring should avoid disorder, but the cap should flex with actual tape speed.</x:v>
      </x:c>
    </x:row>
    <x:row r="18" ht="17.08984375" hidden="0" customHeight="1">
      <x:c r="A18" s="89" t="str">
        <x:v>workbook_temporal_threshold</x:v>
      </x:c>
      <x:c r="B18" s="88" t="str">
        <x:v>Temporal_Step1_Framework</x:v>
      </x:c>
      <x:c r="C18" s="88" t="str">
        <x:v>Temporal / Step1</x:v>
      </x:c>
      <x:c r="D18" s="88" t="str">
        <x:v>Temporal_Step1_Framework</x:v>
      </x:c>
      <x:c r="E18" s="88" t="str">
        <x:v>anchor_relvol_min</x:v>
      </x:c>
      <x:c r="F18" s="88" t="n">
        <x:v>0.9</x:v>
      </x:c>
      <x:c r="G18" s="88" t="n">
        <x:v>0.6</x:v>
      </x:c>
      <x:c r="H18" s="88" t="n">
        <x:v>1.2</x:v>
      </x:c>
      <x:c r="I18" s="88" t="str"/>
      <x:c r="J18" s="88" t="str">
        <x:v>starter_test_band</x:v>
      </x:c>
      <x:c r="K18" s="88" t="str">
        <x:v>Medium</x:v>
      </x:c>
      <x:c r="L18" s="90" t="str">
        <x:v>Anchoring should not require an overactive tape; a modest minimum is enough.</x:v>
      </x:c>
    </x:row>
    <x:row r="19" ht="17.08984375" hidden="0" customHeight="1">
      <x:c r="A19" s="89" t="str">
        <x:v>workbook_temporal_threshold</x:v>
      </x:c>
      <x:c r="B19" s="88" t="str">
        <x:v>Temporal_Step1_Framework</x:v>
      </x:c>
      <x:c r="C19" s="88" t="str">
        <x:v>Temporal / Step1</x:v>
      </x:c>
      <x:c r="D19" s="88" t="str">
        <x:v>Temporal_Step1_Framework</x:v>
      </x:c>
      <x:c r="E19" s="88" t="str">
        <x:v>anchor_relvol_max</x:v>
      </x:c>
      <x:c r="F19" s="88" t="n">
        <x:v>1.4</x:v>
      </x:c>
      <x:c r="G19" s="88" t="n">
        <x:v>1.1</x:v>
      </x:c>
      <x:c r="H19" s="88" t="n">
        <x:v>1.8</x:v>
      </x:c>
      <x:c r="I19" s="88" t="str"/>
      <x:c r="J19" s="88" t="str">
        <x:v>starter_test_band</x:v>
      </x:c>
      <x:c r="K19" s="88" t="str">
        <x:v>Medium</x:v>
      </x:c>
      <x:c r="L19" s="90" t="str">
        <x:v>Upper band keeps anchoring from absorbing clear disorder regimes.</x:v>
      </x:c>
    </x:row>
    <x:row r="20" ht="17.08984375" hidden="0" customHeight="1">
      <x:c r="A20" s="89" t="str">
        <x:v>workbook_temporal_threshold</x:v>
      </x:c>
      <x:c r="B20" s="88" t="str">
        <x:v>Temporal_Step1_Framework</x:v>
      </x:c>
      <x:c r="C20" s="88" t="str">
        <x:v>Temporal / Step1</x:v>
      </x:c>
      <x:c r="D20" s="88" t="str">
        <x:v>Temporal_Step1_Framework</x:v>
      </x:c>
      <x:c r="E20" s="88" t="str">
        <x:v>anchor_impulse_age_min</x:v>
      </x:c>
      <x:c r="F20" s="88" t="n">
        <x:v>5</x:v>
      </x:c>
      <x:c r="G20" s="88" t="n">
        <x:v>2</x:v>
      </x:c>
      <x:c r="H20" s="88" t="n">
        <x:v>10</x:v>
      </x:c>
      <x:c r="I20" s="88" t="str"/>
      <x:c r="J20" s="88" t="str">
        <x:v>starter_test_band</x:v>
      </x:c>
      <x:c r="K20" s="88" t="str">
        <x:v>Medium</x:v>
      </x:c>
      <x:c r="L20" s="90" t="str">
        <x:v>Need a little time since the last impulse before calling the tape anchored.</x:v>
      </x:c>
    </x:row>
    <x:row r="21" ht="17.08984375" hidden="0" customHeight="1">
      <x:c r="A21" s="89" t="str">
        <x:v>workbook_temporal_threshold</x:v>
      </x:c>
      <x:c r="B21" s="88" t="str">
        <x:v>Temporal_Step1_Framework</x:v>
      </x:c>
      <x:c r="C21" s="88" t="str">
        <x:v>Temporal / Step1</x:v>
      </x:c>
      <x:c r="D21" s="88" t="str">
        <x:v>Temporal_Step1_Framework</x:v>
      </x:c>
      <x:c r="E21" s="88" t="str">
        <x:v>compression_rv5_bps_max</x:v>
      </x:c>
      <x:c r="F21" s="88" t="n">
        <x:v>35</x:v>
      </x:c>
      <x:c r="G21" s="88" t="n">
        <x:v>15</x:v>
      </x:c>
      <x:c r="H21" s="88" t="n">
        <x:v>60</x:v>
      </x:c>
      <x:c r="I21" s="88" t="str"/>
      <x:c r="J21" s="88" t="str">
        <x:v>starter_test_band</x:v>
      </x:c>
      <x:c r="K21" s="88" t="str">
        <x:v>Medium</x:v>
      </x:c>
      <x:c r="L21" s="90" t="str">
        <x:v>Compression should mean genuinely quieter tape, but not literally zero motion.</x:v>
      </x:c>
    </x:row>
    <x:row r="22" ht="17.08984375" hidden="0" customHeight="1">
      <x:c r="A22" s="89" t="str">
        <x:v>workbook_temporal_threshold</x:v>
      </x:c>
      <x:c r="B22" s="88" t="str">
        <x:v>Temporal_Step1_Framework</x:v>
      </x:c>
      <x:c r="C22" s="88" t="str">
        <x:v>Temporal / Step1</x:v>
      </x:c>
      <x:c r="D22" s="88" t="str">
        <x:v>Temporal_Step1_Framework</x:v>
      </x:c>
      <x:c r="E22" s="88" t="str">
        <x:v>compression_range5_bps_max</x:v>
      </x:c>
      <x:c r="F22" s="88" t="n">
        <x:v>40</x:v>
      </x:c>
      <x:c r="G22" s="88" t="n">
        <x:v>15</x:v>
      </x:c>
      <x:c r="H22" s="88" t="n">
        <x:v>70</x:v>
      </x:c>
      <x:c r="I22" s="88" t="str"/>
      <x:c r="J22" s="88" t="str">
        <x:v>starter_test_band</x:v>
      </x:c>
      <x:c r="K22" s="88" t="str">
        <x:v>Medium</x:v>
      </x:c>
      <x:c r="L22" s="90" t="str">
        <x:v>Use a bounded range cap to define compression without demanding perfect flatness.</x:v>
      </x:c>
    </x:row>
    <x:row r="23" ht="17.08984375" hidden="0" customHeight="1">
      <x:c r="A23" s="89" t="str">
        <x:v>workbook_temporal_threshold</x:v>
      </x:c>
      <x:c r="B23" s="88" t="str">
        <x:v>Temporal_Step1_Framework</x:v>
      </x:c>
      <x:c r="C23" s="88" t="str">
        <x:v>Temporal / Step1</x:v>
      </x:c>
      <x:c r="D23" s="88" t="str">
        <x:v>Temporal_Step1_Framework</x:v>
      </x:c>
      <x:c r="E23" s="88" t="str">
        <x:v>compression_vwap_dist_bps_max</x:v>
      </x:c>
      <x:c r="F23" s="88" t="n">
        <x:v>25</x:v>
      </x:c>
      <x:c r="G23" s="88" t="n">
        <x:v>10</x:v>
      </x:c>
      <x:c r="H23" s="88" t="n">
        <x:v>45</x:v>
      </x:c>
      <x:c r="I23" s="88" t="str"/>
      <x:c r="J23" s="88" t="str">
        <x:v>starter_test_band</x:v>
      </x:c>
      <x:c r="K23" s="88" t="str">
        <x:v>Medium</x:v>
      </x:c>
      <x:c r="L23" s="90" t="str">
        <x:v>Compression near VWAP should stay fairly tight.</x:v>
      </x:c>
    </x:row>
    <x:row r="24" ht="17.08984375" hidden="0" customHeight="1">
      <x:c r="A24" s="89" t="str">
        <x:v>workbook_temporal_threshold</x:v>
      </x:c>
      <x:c r="B24" s="88" t="str">
        <x:v>Temporal_Step1_Framework</x:v>
      </x:c>
      <x:c r="C24" s="88" t="str">
        <x:v>Temporal / Step1</x:v>
      </x:c>
      <x:c r="D24" s="88" t="str">
        <x:v>Temporal_Step1_Framework</x:v>
      </x:c>
      <x:c r="E24" s="88" t="str">
        <x:v>compression_relvol_max</x:v>
      </x:c>
      <x:c r="F24" s="88" t="n">
        <x:v>0.9</x:v>
      </x:c>
      <x:c r="G24" s="88" t="n">
        <x:v>0.6</x:v>
      </x:c>
      <x:c r="H24" s="88" t="n">
        <x:v>1.1</x:v>
      </x:c>
      <x:c r="I24" s="88" t="str"/>
      <x:c r="J24" s="88" t="str">
        <x:v>starter_test_band</x:v>
      </x:c>
      <x:c r="K24" s="88" t="str">
        <x:v>Medium</x:v>
      </x:c>
      <x:c r="L24" s="90" t="str">
        <x:v>Compression should sit below normal participation, not require dead tape.</x:v>
      </x:c>
    </x:row>
    <x:row r="25" ht="17.08984375" hidden="0" customHeight="1">
      <x:c r="A25" s="89" t="str">
        <x:v>workbook_temporal_threshold</x:v>
      </x:c>
      <x:c r="B25" s="88" t="str">
        <x:v>Temporal_Step1_Framework</x:v>
      </x:c>
      <x:c r="C25" s="88" t="str">
        <x:v>Temporal / Step1</x:v>
      </x:c>
      <x:c r="D25" s="88" t="str">
        <x:v>Temporal_Step1_Framework</x:v>
      </x:c>
      <x:c r="E25" s="88" t="str">
        <x:v>trend_vwap_slope_bps_min</x:v>
      </x:c>
      <x:c r="F25" s="88" t="n">
        <x:v>15</x:v>
      </x:c>
      <x:c r="G25" s="88" t="n">
        <x:v>5</x:v>
      </x:c>
      <x:c r="H25" s="88" t="n">
        <x:v>30</x:v>
      </x:c>
      <x:c r="I25" s="88" t="str"/>
      <x:c r="J25" s="88" t="str">
        <x:v>starter_test_band</x:v>
      </x:c>
      <x:c r="K25" s="88" t="str">
        <x:v>Medium</x:v>
      </x:c>
      <x:c r="L25" s="90" t="str">
        <x:v>Trend persistence needs a visible slope, but the exact slope should be tested.</x:v>
      </x:c>
    </x:row>
    <x:row r="26" ht="17.08984375" hidden="0" customHeight="1">
      <x:c r="A26" s="89" t="str">
        <x:v>workbook_temporal_threshold</x:v>
      </x:c>
      <x:c r="B26" s="88" t="str">
        <x:v>Temporal_Step1_Framework</x:v>
      </x:c>
      <x:c r="C26" s="88" t="str">
        <x:v>Temporal / Step1</x:v>
      </x:c>
      <x:c r="D26" s="88" t="str">
        <x:v>Temporal_Step1_Framework</x:v>
      </x:c>
      <x:c r="E26" s="88" t="str">
        <x:v>trend_vwap_dist_bps_min</x:v>
      </x:c>
      <x:c r="F26" s="88" t="n">
        <x:v>30</x:v>
      </x:c>
      <x:c r="G26" s="88" t="n">
        <x:v>10</x:v>
      </x:c>
      <x:c r="H26" s="88" t="n">
        <x:v>60</x:v>
      </x:c>
      <x:c r="I26" s="88" t="str"/>
      <x:c r="J26" s="88" t="str">
        <x:v>starter_test_band</x:v>
      </x:c>
      <x:c r="K26" s="88" t="str">
        <x:v>Medium</x:v>
      </x:c>
      <x:c r="L26" s="90" t="str">
        <x:v>Trend state should need meaningful distance from anchor, not random noise.</x:v>
      </x:c>
    </x:row>
    <x:row r="27" ht="17.08984375" hidden="0" customHeight="1">
      <x:c r="A27" s="89" t="str">
        <x:v>workbook_temporal_threshold</x:v>
      </x:c>
      <x:c r="B27" s="88" t="str">
        <x:v>Temporal_Step1_Framework</x:v>
      </x:c>
      <x:c r="C27" s="88" t="str">
        <x:v>Temporal / Step1</x:v>
      </x:c>
      <x:c r="D27" s="88" t="str">
        <x:v>Temporal_Step1_Framework</x:v>
      </x:c>
      <x:c r="E27" s="88" t="str">
        <x:v>trend_relvol_min</x:v>
      </x:c>
      <x:c r="F27" s="88" t="n">
        <x:v>1.05</x:v>
      </x:c>
      <x:c r="G27" s="88" t="n">
        <x:v>0.9</x:v>
      </x:c>
      <x:c r="H27" s="88" t="n">
        <x:v>1.5</x:v>
      </x:c>
      <x:c r="I27" s="88" t="str"/>
      <x:c r="J27" s="88" t="str">
        <x:v>starter_test_band</x:v>
      </x:c>
      <x:c r="K27" s="88" t="str">
        <x:v>Medium</x:v>
      </x:c>
      <x:c r="L27" s="90" t="str">
        <x:v>Trend persistence usually wants at least normal participation, sometimes more.</x:v>
      </x:c>
    </x:row>
    <x:row r="28" ht="17.08984375" hidden="0" customHeight="1">
      <x:c r="A28" s="89" t="str">
        <x:v>workbook_temporal_threshold</x:v>
      </x:c>
      <x:c r="B28" s="88" t="str">
        <x:v>Temporal_Step1_Framework</x:v>
      </x:c>
      <x:c r="C28" s="88" t="str">
        <x:v>Temporal / Step1</x:v>
      </x:c>
      <x:c r="D28" s="88" t="str">
        <x:v>Temporal_Step1_Framework</x:v>
      </x:c>
      <x:c r="E28" s="88" t="str">
        <x:v>trend_impulse_age_max</x:v>
      </x:c>
      <x:c r="F28" s="88" t="n">
        <x:v>5</x:v>
      </x:c>
      <x:c r="G28" s="88" t="n">
        <x:v>2</x:v>
      </x:c>
      <x:c r="H28" s="88" t="n">
        <x:v>10</x:v>
      </x:c>
      <x:c r="I28" s="88" t="str"/>
      <x:c r="J28" s="88" t="str">
        <x:v>starter_test_band</x:v>
      </x:c>
      <x:c r="K28" s="88" t="str">
        <x:v>Medium</x:v>
      </x:c>
      <x:c r="L28" s="90" t="str">
        <x:v>Recent impulse should still be fresh if the trend is to count as active.</x:v>
      </x:c>
    </x:row>
    <x:row r="29" ht="17.08984375" hidden="0" customHeight="1">
      <x:c r="A29" s="89" t="str">
        <x:v>workbook_temporal_threshold</x:v>
      </x:c>
      <x:c r="B29" s="88" t="str">
        <x:v>Temporal_Step1_Framework</x:v>
      </x:c>
      <x:c r="C29" s="88" t="str">
        <x:v>Temporal / Step1</x:v>
      </x:c>
      <x:c r="D29" s="88" t="str">
        <x:v>Temporal_Step1_Framework</x:v>
      </x:c>
      <x:c r="E29" s="88" t="str">
        <x:v>power_hour_window_min</x:v>
      </x:c>
      <x:c r="F29" s="88" t="n">
        <x:v>60</x:v>
      </x:c>
      <x:c r="G29" s="88" t="n">
        <x:v>45</x:v>
      </x:c>
      <x:c r="H29" s="88" t="n">
        <x:v>90</x:v>
      </x:c>
      <x:c r="I29" s="88" t="str"/>
      <x:c r="J29" s="88" t="str">
        <x:v>clock_window_parameter</x:v>
      </x:c>
      <x:c r="K29" s="88" t="str">
        <x:v>Medium</x:v>
      </x:c>
      <x:c r="L29" s="90" t="str">
        <x:v>Window should stay a practical clock envelope rather than a fuzzy phase label.</x:v>
      </x:c>
    </x:row>
    <x:row r="30" ht="17.08984375" hidden="0" customHeight="1">
      <x:c r="A30" s="89" t="str">
        <x:v>workbook_temporal_threshold</x:v>
      </x:c>
      <x:c r="B30" s="88" t="str">
        <x:v>Temporal_Step1_Framework</x:v>
      </x:c>
      <x:c r="C30" s="88" t="str">
        <x:v>Temporal / Step1</x:v>
      </x:c>
      <x:c r="D30" s="88" t="str">
        <x:v>Temporal_Step1_Framework</x:v>
      </x:c>
      <x:c r="E30" s="88" t="str">
        <x:v>unwind_window_min</x:v>
      </x:c>
      <x:c r="F30" s="88" t="n">
        <x:v>30</x:v>
      </x:c>
      <x:c r="G30" s="88" t="n">
        <x:v>15</x:v>
      </x:c>
      <x:c r="H30" s="88" t="n">
        <x:v>45</x:v>
      </x:c>
      <x:c r="I30" s="88" t="str"/>
      <x:c r="J30" s="88" t="str">
        <x:v>clock_window_parameter</x:v>
      </x:c>
      <x:c r="K30" s="88" t="str">
        <x:v>Medium</x:v>
      </x:c>
      <x:c r="L30" s="90" t="str">
        <x:v>Dealer-unwind close window should be bounded tightly around the actual close.</x:v>
      </x:c>
    </x:row>
    <x:row r="31" ht="17.08984375" hidden="0" customHeight="1">
      <x:c r="A31" s="89" t="str">
        <x:v>legacy_example_config</x:v>
      </x:c>
      <x:c r="B31" s="88" t="str">
        <x:v>config/coefficients_registry.example.yaml</x:v>
      </x:c>
      <x:c r="C31" s="88" t="str">
        <x:v>layer1_signals</x:v>
      </x:c>
      <x:c r="D31" s="88" t="str">
        <x:v>vwap_roc.py</x:v>
      </x:c>
      <x:c r="E31" s="88" t="str">
        <x:v>lookback_points</x:v>
      </x:c>
      <x:c r="F31" s="88" t="n">
        <x:v>2</x:v>
      </x:c>
      <x:c r="G31" s="88" t="n">
        <x:v>2</x:v>
      </x:c>
      <x:c r="H31" s="88" t="n">
        <x:v>12</x:v>
      </x:c>
      <x:c r="I31" s="88" t="n">
        <x:v>1</x:v>
      </x:c>
      <x:c r="J31" s="88" t="str">
        <x:v>test_band</x:v>
      </x:c>
      <x:c r="K31" s="88" t="str">
        <x:v>Medium</x:v>
      </x:c>
      <x:c r="L31" s="90" t="str">
        <x:v>Number of VWAP snapshots compared.</x:v>
      </x:c>
    </x:row>
    <x:row r="32" ht="17.08984375" hidden="0" customHeight="1">
      <x:c r="A32" s="89" t="str">
        <x:v>legacy_example_config</x:v>
      </x:c>
      <x:c r="B32" s="88" t="str">
        <x:v>config/coefficients_registry.example.yaml</x:v>
      </x:c>
      <x:c r="C32" s="88" t="str">
        <x:v>layer1_signals</x:v>
      </x:c>
      <x:c r="D32" s="88" t="str">
        <x:v>vwap_roc.py</x:v>
      </x:c>
      <x:c r="E32" s="88" t="str">
        <x:v>smoothing_alpha</x:v>
      </x:c>
      <x:c r="F32" s="88" t="n">
        <x:v>0</x:v>
      </x:c>
      <x:c r="G32" s="88" t="n">
        <x:v>0</x:v>
      </x:c>
      <x:c r="H32" s="88" t="n">
        <x:v>0.5</x:v>
      </x:c>
      <x:c r="I32" s="88" t="n">
        <x:v>0.05</x:v>
      </x:c>
      <x:c r="J32" s="88" t="str">
        <x:v>test_band</x:v>
      </x:c>
      <x:c r="K32" s="88" t="str">
        <x:v>Medium</x:v>
      </x:c>
      <x:c r="L32" s="90" t="str">
        <x:v>Optional smoothing factor.</x:v>
      </x:c>
    </x:row>
    <x:row r="33" ht="17.08984375" hidden="0" customHeight="1">
      <x:c r="A33" s="89" t="str">
        <x:v>legacy_example_config</x:v>
      </x:c>
      <x:c r="B33" s="88" t="str">
        <x:v>config/coefficients_registry.example.yaml</x:v>
      </x:c>
      <x:c r="C33" s="88" t="str">
        <x:v>layer1_signals</x:v>
      </x:c>
      <x:c r="D33" s="88" t="str">
        <x:v>vwap_roc.py</x:v>
      </x:c>
      <x:c r="E33" s="88" t="str">
        <x:v>up_slope_threshold</x:v>
      </x:c>
      <x:c r="F33" s="88" t="n">
        <x:v>0.0005</x:v>
      </x:c>
      <x:c r="G33" s="88" t="n">
        <x:v>0.0001</x:v>
      </x:c>
      <x:c r="H33" s="88" t="n">
        <x:v>0.01</x:v>
      </x:c>
      <x:c r="I33" s="88" t="n">
        <x:v>0.0001</x:v>
      </x:c>
      <x:c r="J33" s="88" t="str">
        <x:v>test_band</x:v>
      </x:c>
      <x:c r="K33" s="88" t="str">
        <x:v>Medium</x:v>
      </x:c>
      <x:c r="L33" s="90" t="str">
        <x:v>Threshold for bullish VWAP slope classification.</x:v>
      </x:c>
    </x:row>
    <x:row r="34" ht="17.08984375" hidden="0" customHeight="1">
      <x:c r="A34" s="89" t="str">
        <x:v>legacy_example_config</x:v>
      </x:c>
      <x:c r="B34" s="88" t="str">
        <x:v>config/coefficients_registry.example.yaml</x:v>
      </x:c>
      <x:c r="C34" s="88" t="str">
        <x:v>layer1_signals</x:v>
      </x:c>
      <x:c r="D34" s="88" t="str">
        <x:v>vwap_roc.py</x:v>
      </x:c>
      <x:c r="E34" s="88" t="str">
        <x:v>down_slope_threshold</x:v>
      </x:c>
      <x:c r="F34" s="88" t="n">
        <x:v>-0.0005</x:v>
      </x:c>
      <x:c r="G34" s="88" t="n">
        <x:v>-0.01</x:v>
      </x:c>
      <x:c r="H34" s="88" t="n">
        <x:v>-0.0001</x:v>
      </x:c>
      <x:c r="I34" s="88" t="n">
        <x:v>0.0001</x:v>
      </x:c>
      <x:c r="J34" s="88" t="str">
        <x:v>test_band</x:v>
      </x:c>
      <x:c r="K34" s="88" t="str">
        <x:v>Medium</x:v>
      </x:c>
      <x:c r="L34" s="90" t="str">
        <x:v>Threshold for bearish VWAP slope classification.</x:v>
      </x:c>
    </x:row>
    <x:row r="35" ht="17.08984375" hidden="0" customHeight="1">
      <x:c r="A35" s="89" t="str">
        <x:v>legacy_example_config</x:v>
      </x:c>
      <x:c r="B35" s="88" t="str">
        <x:v>config/coefficients_registry.example.yaml</x:v>
      </x:c>
      <x:c r="C35" s="88" t="str">
        <x:v>layer1_signals</x:v>
      </x:c>
      <x:c r="D35" s="88" t="str">
        <x:v>realized_volatility_engine.py</x:v>
      </x:c>
      <x:c r="E35" s="88" t="str">
        <x:v>bars_per_day</x:v>
      </x:c>
      <x:c r="F35" s="88" t="n">
        <x:v>390</x:v>
      </x:c>
      <x:c r="G35" s="88" t="n">
        <x:v>78</x:v>
      </x:c>
      <x:c r="H35" s="88" t="n">
        <x:v>390</x:v>
      </x:c>
      <x:c r="I35" s="88" t="n">
        <x:v>1</x:v>
      </x:c>
      <x:c r="J35" s="88" t="str">
        <x:v>test_band</x:v>
      </x:c>
      <x:c r="K35" s="88" t="str">
        <x:v>Medium</x:v>
      </x:c>
      <x:c r="L35" s="90" t="str">
        <x:v>Depends on bar resolution.</x:v>
      </x:c>
    </x:row>
    <x:row r="36" ht="17.08984375" hidden="0" customHeight="1">
      <x:c r="A36" s="89" t="str">
        <x:v>legacy_example_config</x:v>
      </x:c>
      <x:c r="B36" s="88" t="str">
        <x:v>config/coefficients_registry.example.yaml</x:v>
      </x:c>
      <x:c r="C36" s="88" t="str">
        <x:v>layer1_signals</x:v>
      </x:c>
      <x:c r="D36" s="88" t="str">
        <x:v>realized_volatility_engine.py</x:v>
      </x:c>
      <x:c r="E36" s="88" t="str">
        <x:v>annualization_days</x:v>
      </x:c>
      <x:c r="F36" s="88" t="n">
        <x:v>252</x:v>
      </x:c>
      <x:c r="G36" s="88" t="n">
        <x:v>200</x:v>
      </x:c>
      <x:c r="H36" s="88" t="n">
        <x:v>365</x:v>
      </x:c>
      <x:c r="I36" s="88" t="n">
        <x:v>1</x:v>
      </x:c>
      <x:c r="J36" s="88" t="str">
        <x:v>test_band</x:v>
      </x:c>
      <x:c r="K36" s="88" t="str">
        <x:v>Medium</x:v>
      </x:c>
      <x:c r="L36" s="90" t="str">
        <x:v>Annualization factor.</x:v>
      </x:c>
    </x:row>
    <x:row r="37" ht="17.08984375" hidden="0" customHeight="1">
      <x:c r="A37" s="89" t="str">
        <x:v>legacy_example_config</x:v>
      </x:c>
      <x:c r="B37" s="88" t="str">
        <x:v>config/coefficients_registry.example.yaml</x:v>
      </x:c>
      <x:c r="C37" s="88" t="str">
        <x:v>layer1_signals</x:v>
      </x:c>
      <x:c r="D37" s="88" t="str">
        <x:v>realized_volatility_engine.py</x:v>
      </x:c>
      <x:c r="E37" s="88" t="str">
        <x:v>compression_ratio</x:v>
      </x:c>
      <x:c r="F37" s="88" t="n">
        <x:v>0.85</x:v>
      </x:c>
      <x:c r="G37" s="88" t="n">
        <x:v>0.7</x:v>
      </x:c>
      <x:c r="H37" s="88" t="n">
        <x:v>1</x:v>
      </x:c>
      <x:c r="I37" s="88" t="n">
        <x:v>0.01</x:v>
      </x:c>
      <x:c r="J37" s="88" t="str">
        <x:v>test_band</x:v>
      </x:c>
      <x:c r="K37" s="88" t="str">
        <x:v>Medium</x:v>
      </x:c>
      <x:c r="L37" s="90" t="str">
        <x:v>Threshold for short-term RV compression versus longer-term RV.</x:v>
      </x:c>
    </x:row>
    <x:row r="38" ht="17.08984375" hidden="0" customHeight="1">
      <x:c r="A38" s="89" t="str">
        <x:v>legacy_example_config</x:v>
      </x:c>
      <x:c r="B38" s="88" t="str">
        <x:v>config/coefficients_registry.example.yaml</x:v>
      </x:c>
      <x:c r="C38" s="88" t="str">
        <x:v>layer1_signals</x:v>
      </x:c>
      <x:c r="D38" s="88" t="str">
        <x:v>iv_vs_rv_analysis.py</x:v>
      </x:c>
      <x:c r="E38" s="88" t="str">
        <x:v>anomaly_threshold</x:v>
      </x:c>
      <x:c r="F38" s="88" t="n">
        <x:v>1.2</x:v>
      </x:c>
      <x:c r="G38" s="88" t="n">
        <x:v>1.05</x:v>
      </x:c>
      <x:c r="H38" s="88" t="n">
        <x:v>1.5</x:v>
      </x:c>
      <x:c r="I38" s="88" t="n">
        <x:v>0.05</x:v>
      </x:c>
      <x:c r="J38" s="88" t="str">
        <x:v>test_band</x:v>
      </x:c>
      <x:c r="K38" s="88" t="str">
        <x:v>Medium</x:v>
      </x:c>
      <x:c r="L38" s="90" t="str">
        <x:v>IV/RV threshold for expensive vol.</x:v>
      </x:c>
    </x:row>
    <x:row r="39" ht="17.08984375" hidden="0" customHeight="1">
      <x:c r="A39" s="89" t="str">
        <x:v>legacy_example_config</x:v>
      </x:c>
      <x:c r="B39" s="88" t="str">
        <x:v>config/coefficients_registry.example.yaml</x:v>
      </x:c>
      <x:c r="C39" s="88" t="str">
        <x:v>layer1_signals</x:v>
      </x:c>
      <x:c r="D39" s="88" t="str">
        <x:v>iv_vs_rv_analysis.py</x:v>
      </x:c>
      <x:c r="E39" s="88" t="str">
        <x:v>compression_threshold</x:v>
      </x:c>
      <x:c r="F39" s="88" t="n">
        <x:v>1.05</x:v>
      </x:c>
      <x:c r="G39" s="88" t="n">
        <x:v>0.9</x:v>
      </x:c>
      <x:c r="H39" s="88" t="n">
        <x:v>1.15</x:v>
      </x:c>
      <x:c r="I39" s="88" t="n">
        <x:v>0.01</x:v>
      </x:c>
      <x:c r="J39" s="88" t="str">
        <x:v>test_band</x:v>
      </x:c>
      <x:c r="K39" s="88" t="str">
        <x:v>Medium</x:v>
      </x:c>
      <x:c r="L39" s="90" t="str">
        <x:v>IV/RV convergence threshold.</x:v>
      </x:c>
    </x:row>
    <x:row r="40" ht="17.08984375" hidden="0" customHeight="1">
      <x:c r="A40" s="89" t="str">
        <x:v>legacy_example_config</x:v>
      </x:c>
      <x:c r="B40" s="88" t="str">
        <x:v>config/coefficients_registry.example.yaml</x:v>
      </x:c>
      <x:c r="C40" s="88" t="str">
        <x:v>layer1_signals</x:v>
      </x:c>
      <x:c r="D40" s="88" t="str">
        <x:v>iv_vs_rv_analysis.py</x:v>
      </x:c>
      <x:c r="E40" s="88" t="str">
        <x:v>atm_delta_band</x:v>
      </x:c>
      <x:c r="F40" s="88" t="n">
        <x:v>0.1</x:v>
      </x:c>
      <x:c r="G40" s="88" t="n">
        <x:v>0.05</x:v>
      </x:c>
      <x:c r="H40" s="88" t="n">
        <x:v>0.2</x:v>
      </x:c>
      <x:c r="I40" s="88" t="n">
        <x:v>0.01</x:v>
      </x:c>
      <x:c r="J40" s="88" t="str">
        <x:v>test_band</x:v>
      </x:c>
      <x:c r="K40" s="88" t="str">
        <x:v>Medium</x:v>
      </x:c>
      <x:c r="L40" s="90" t="str">
        <x:v>ATM option selection band.</x:v>
      </x:c>
    </x:row>
    <x:row r="41" ht="17.08984375" hidden="0" customHeight="1">
      <x:c r="A41" s="89" t="str">
        <x:v>legacy_example_config</x:v>
      </x:c>
      <x:c r="B41" s="88" t="str">
        <x:v>config/coefficients_registry.example.yaml</x:v>
      </x:c>
      <x:c r="C41" s="88" t="str">
        <x:v>layer1_signals</x:v>
      </x:c>
      <x:c r="D41" s="88" t="str">
        <x:v>gamma_pressure.py</x:v>
      </x:c>
      <x:c r="E41" s="88" t="str">
        <x:v>proximity_range_pct</x:v>
      </x:c>
      <x:c r="F41" s="88" t="n">
        <x:v>1.5</x:v>
      </x:c>
      <x:c r="G41" s="88" t="n">
        <x:v>0.5</x:v>
      </x:c>
      <x:c r="H41" s="88" t="n">
        <x:v>3</x:v>
      </x:c>
      <x:c r="I41" s="88" t="n">
        <x:v>0.1</x:v>
      </x:c>
      <x:c r="J41" s="88" t="str">
        <x:v>test_band</x:v>
      </x:c>
      <x:c r="K41" s="88" t="str">
        <x:v>Medium</x:v>
      </x:c>
      <x:c r="L41" s="90" t="str">
        <x:v>Band around spot for gamma clustering.</x:v>
      </x:c>
    </x:row>
    <x:row r="42" ht="17.08984375" hidden="0" customHeight="1">
      <x:c r="A42" s="89" t="str">
        <x:v>legacy_example_config</x:v>
      </x:c>
      <x:c r="B42" s="88" t="str">
        <x:v>config/coefficients_registry.example.yaml</x:v>
      </x:c>
      <x:c r="C42" s="88" t="str">
        <x:v>layer1_signals</x:v>
      </x:c>
      <x:c r="D42" s="88" t="str">
        <x:v>gamma_pressure.py</x:v>
      </x:c>
      <x:c r="E42" s="88" t="str">
        <x:v>min_gamma_density</x:v>
      </x:c>
      <x:c r="F42" s="88" t="n">
        <x:v>0.2</x:v>
      </x:c>
      <x:c r="G42" s="88" t="n">
        <x:v>0.05</x:v>
      </x:c>
      <x:c r="H42" s="88" t="n">
        <x:v>0.5</x:v>
      </x:c>
      <x:c r="I42" s="88" t="n">
        <x:v>0.05</x:v>
      </x:c>
      <x:c r="J42" s="88" t="str">
        <x:v>test_band</x:v>
      </x:c>
      <x:c r="K42" s="88" t="str">
        <x:v>Medium</x:v>
      </x:c>
      <x:c r="L42" s="90" t="str">
        <x:v>Threshold for pin-style clustering.</x:v>
      </x:c>
    </x:row>
    <x:row r="43" ht="17.08984375" hidden="0" customHeight="1">
      <x:c r="A43" s="89" t="str">
        <x:v>legacy_example_config</x:v>
      </x:c>
      <x:c r="B43" s="88" t="str">
        <x:v>config/coefficients_registry.example.yaml</x:v>
      </x:c>
      <x:c r="C43" s="88" t="str">
        <x:v>layer1_signals</x:v>
      </x:c>
      <x:c r="D43" s="88" t="str">
        <x:v>gamma_pressure.py</x:v>
      </x:c>
      <x:c r="E43" s="88" t="str">
        <x:v>min_strike_count</x:v>
      </x:c>
      <x:c r="F43" s="88" t="n">
        <x:v>3</x:v>
      </x:c>
      <x:c r="G43" s="88" t="n">
        <x:v>2</x:v>
      </x:c>
      <x:c r="H43" s="88" t="n">
        <x:v>8</x:v>
      </x:c>
      <x:c r="I43" s="88" t="n">
        <x:v>1</x:v>
      </x:c>
      <x:c r="J43" s="88" t="str">
        <x:v>test_band</x:v>
      </x:c>
      <x:c r="K43" s="88" t="str">
        <x:v>Medium</x:v>
      </x:c>
      <x:c r="L43" s="90" t="str">
        <x:v>Minimum nearby strikes.</x:v>
      </x:c>
    </x:row>
    <x:row r="44" ht="17.08984375" hidden="0" customHeight="1">
      <x:c r="A44" s="89" t="str">
        <x:v>legacy_example_config</x:v>
      </x:c>
      <x:c r="B44" s="88" t="str">
        <x:v>config/coefficients_registry.example.yaml</x:v>
      </x:c>
      <x:c r="C44" s="88" t="str">
        <x:v>layer1_signals</x:v>
      </x:c>
      <x:c r="D44" s="88" t="str">
        <x:v>vol_corridor.py</x:v>
      </x:c>
      <x:c r="E44" s="88" t="str">
        <x:v>flatten_threshold</x:v>
      </x:c>
      <x:c r="F44" s="88" t="n">
        <x:v>0.02</x:v>
      </x:c>
      <x:c r="G44" s="88" t="n">
        <x:v>0.005</x:v>
      </x:c>
      <x:c r="H44" s="88" t="n">
        <x:v>0.05</x:v>
      </x:c>
      <x:c r="I44" s="88" t="n">
        <x:v>0.005</x:v>
      </x:c>
      <x:c r="J44" s="88" t="str">
        <x:v>test_band</x:v>
      </x:c>
      <x:c r="K44" s="88" t="str">
        <x:v>Medium</x:v>
      </x:c>
      <x:c r="L44" s="90" t="str">
        <x:v>Front versus mid IV spread compression threshold.</x:v>
      </x:c>
    </x:row>
    <x:row r="45" ht="17.08984375" hidden="0" customHeight="1">
      <x:c r="A45" s="89" t="str">
        <x:v>legacy_example_config</x:v>
      </x:c>
      <x:c r="B45" s="88" t="str">
        <x:v>config/coefficients_registry.example.yaml</x:v>
      </x:c>
      <x:c r="C45" s="88" t="str">
        <x:v>layer1_signals</x:v>
      </x:c>
      <x:c r="D45" s="88" t="str">
        <x:v>vol_corridor.py</x:v>
      </x:c>
      <x:c r="E45" s="88" t="str">
        <x:v>atm_delta_band</x:v>
      </x:c>
      <x:c r="F45" s="88" t="n">
        <x:v>0.1</x:v>
      </x:c>
      <x:c r="G45" s="88" t="n">
        <x:v>0.05</x:v>
      </x:c>
      <x:c r="H45" s="88" t="n">
        <x:v>0.2</x:v>
      </x:c>
      <x:c r="I45" s="88" t="n">
        <x:v>0.01</x:v>
      </x:c>
      <x:c r="J45" s="88" t="str">
        <x:v>test_band</x:v>
      </x:c>
      <x:c r="K45" s="88" t="str">
        <x:v>Medium</x:v>
      </x:c>
      <x:c r="L45" s="90" t="str">
        <x:v>ATM IV extraction band.</x:v>
      </x:c>
    </x:row>
    <x:row r="46" ht="17.08984375" hidden="0" customHeight="1">
      <x:c r="A46" s="89" t="str">
        <x:v>legacy_example_config</x:v>
      </x:c>
      <x:c r="B46" s="88" t="str">
        <x:v>config/coefficients_registry.example.yaml</x:v>
      </x:c>
      <x:c r="C46" s="88" t="str">
        <x:v>layer1_signals</x:v>
      </x:c>
      <x:c r="D46" s="88" t="str">
        <x:v>macro_signal_score.py</x:v>
      </x:c>
      <x:c r="E46" s="88" t="str">
        <x:v>vix_risk_threshold</x:v>
      </x:c>
      <x:c r="F46" s="88" t="n">
        <x:v>22</x:v>
      </x:c>
      <x:c r="G46" s="88" t="n">
        <x:v>15</x:v>
      </x:c>
      <x:c r="H46" s="88" t="n">
        <x:v>35</x:v>
      </x:c>
      <x:c r="I46" s="88" t="n">
        <x:v>1</x:v>
      </x:c>
      <x:c r="J46" s="88" t="str">
        <x:v>test_band</x:v>
      </x:c>
      <x:c r="K46" s="88" t="str">
        <x:v>Medium</x:v>
      </x:c>
      <x:c r="L46" s="90" t="str">
        <x:v>Risk threshold for VIX.</x:v>
      </x:c>
    </x:row>
    <x:row r="47" ht="17.08984375" hidden="0" customHeight="1">
      <x:c r="A47" s="89" t="str">
        <x:v>legacy_example_config</x:v>
      </x:c>
      <x:c r="B47" s="88" t="str">
        <x:v>config/coefficients_registry.example.yaml</x:v>
      </x:c>
      <x:c r="C47" s="88" t="str">
        <x:v>layer1_signals</x:v>
      </x:c>
      <x:c r="D47" s="88" t="str">
        <x:v>macro_signal_score.py</x:v>
      </x:c>
      <x:c r="E47" s="88" t="str">
        <x:v>vvix_spread</x:v>
      </x:c>
      <x:c r="F47" s="88" t="n">
        <x:v>15</x:v>
      </x:c>
      <x:c r="G47" s="88" t="n">
        <x:v>5</x:v>
      </x:c>
      <x:c r="H47" s="88" t="n">
        <x:v>30</x:v>
      </x:c>
      <x:c r="I47" s="88" t="n">
        <x:v>1</x:v>
      </x:c>
      <x:c r="J47" s="88" t="str">
        <x:v>test_band</x:v>
      </x:c>
      <x:c r="K47" s="88" t="str">
        <x:v>Medium</x:v>
      </x:c>
      <x:c r="L47" s="90" t="str">
        <x:v>VVIX-VIX spread threshold.</x:v>
      </x:c>
    </x:row>
    <x:row r="48" ht="17.08984375" hidden="0" customHeight="1">
      <x:c r="A48" s="89" t="str">
        <x:v>legacy_example_config</x:v>
      </x:c>
      <x:c r="B48" s="88" t="str">
        <x:v>config/coefficients_registry.example.yaml</x:v>
      </x:c>
      <x:c r="C48" s="88" t="str">
        <x:v>layer1_signals</x:v>
      </x:c>
      <x:c r="D48" s="88" t="str">
        <x:v>macro_signal_score.py</x:v>
      </x:c>
      <x:c r="E48" s="88" t="str">
        <x:v>yield_trigger</x:v>
      </x:c>
      <x:c r="F48" s="88" t="n">
        <x:v>4.25</x:v>
      </x:c>
      <x:c r="G48" s="88" t="n">
        <x:v>3</x:v>
      </x:c>
      <x:c r="H48" s="88" t="n">
        <x:v>6</x:v>
      </x:c>
      <x:c r="I48" s="88" t="n">
        <x:v>0.05</x:v>
      </x:c>
      <x:c r="J48" s="88" t="str">
        <x:v>test_band</x:v>
      </x:c>
      <x:c r="K48" s="88" t="str">
        <x:v>Medium</x:v>
      </x:c>
      <x:c r="L48" s="90" t="str">
        <x:v>10Y yield pressure threshold.</x:v>
      </x:c>
    </x:row>
    <x:row r="49" ht="17.08984375" hidden="0" customHeight="1">
      <x:c r="A49" s="89" t="str">
        <x:v>legacy_example_config</x:v>
      </x:c>
      <x:c r="B49" s="88" t="str">
        <x:v>config/coefficients_registry.example.yaml</x:v>
      </x:c>
      <x:c r="C49" s="88" t="str">
        <x:v>layer1_signals</x:v>
      </x:c>
      <x:c r="D49" s="88" t="str">
        <x:v>macro_signal_score.py</x:v>
      </x:c>
      <x:c r="E49" s="88" t="str">
        <x:v>fx_risk_floor</x:v>
      </x:c>
      <x:c r="F49" s="88" t="n">
        <x:v>140</x:v>
      </x:c>
      <x:c r="G49" s="88" t="n">
        <x:v>120</x:v>
      </x:c>
      <x:c r="H49" s="88" t="n">
        <x:v>170</x:v>
      </x:c>
      <x:c r="I49" s="88" t="n">
        <x:v>1</x:v>
      </x:c>
      <x:c r="J49" s="88" t="str">
        <x:v>test_band</x:v>
      </x:c>
      <x:c r="K49" s="88" t="str">
        <x:v>Medium</x:v>
      </x:c>
      <x:c r="L49" s="90" t="str">
        <x:v>USDJPY stress threshold.</x:v>
      </x:c>
    </x:row>
    <x:row r="50" ht="17.08984375" hidden="0" customHeight="1">
      <x:c r="A50" s="89" t="str">
        <x:v>legacy_example_config</x:v>
      </x:c>
      <x:c r="B50" s="88" t="str">
        <x:v>config/coefficients_registry.example.yaml</x:v>
      </x:c>
      <x:c r="C50" s="88" t="str">
        <x:v>layer1_signals</x:v>
      </x:c>
      <x:c r="D50" s="88" t="str">
        <x:v>peer_divergence.py</x:v>
      </x:c>
      <x:c r="E50" s="88" t="str">
        <x:v>window_minutes</x:v>
      </x:c>
      <x:c r="F50" s="88" t="n">
        <x:v>10</x:v>
      </x:c>
      <x:c r="G50" s="88" t="n">
        <x:v>5</x:v>
      </x:c>
      <x:c r="H50" s="88" t="n">
        <x:v>60</x:v>
      </x:c>
      <x:c r="I50" s="88" t="n">
        <x:v>5</x:v>
      </x:c>
      <x:c r="J50" s="88" t="str">
        <x:v>test_band</x:v>
      </x:c>
      <x:c r="K50" s="88" t="str">
        <x:v>Medium</x:v>
      </x:c>
      <x:c r="L50" s="90" t="str">
        <x:v>Lookback window for peer correlation.</x:v>
      </x:c>
    </x:row>
    <x:row r="51" ht="17.08984375" hidden="0" customHeight="1">
      <x:c r="A51" s="89" t="str">
        <x:v>legacy_example_config</x:v>
      </x:c>
      <x:c r="B51" s="88" t="str">
        <x:v>config/coefficients_registry.example.yaml</x:v>
      </x:c>
      <x:c r="C51" s="88" t="str">
        <x:v>layer1_signals</x:v>
      </x:c>
      <x:c r="D51" s="88" t="str">
        <x:v>peer_divergence.py</x:v>
      </x:c>
      <x:c r="E51" s="88" t="str">
        <x:v>correlation_threshold</x:v>
      </x:c>
      <x:c r="F51" s="88" t="n">
        <x:v>0.7</x:v>
      </x:c>
      <x:c r="G51" s="88" t="n">
        <x:v>0.3</x:v>
      </x:c>
      <x:c r="H51" s="88" t="n">
        <x:v>0.95</x:v>
      </x:c>
      <x:c r="I51" s="88" t="n">
        <x:v>0.05</x:v>
      </x:c>
      <x:c r="J51" s="88" t="str">
        <x:v>test_band</x:v>
      </x:c>
      <x:c r="K51" s="88" t="str">
        <x:v>Medium</x:v>
      </x:c>
      <x:c r="L51" s="90" t="str">
        <x:v>Threshold for coherence.</x:v>
      </x:c>
    </x:row>
    <x:row r="52" ht="17.08984375" hidden="0" customHeight="1">
      <x:c r="A52" s="89" t="str">
        <x:v>legacy_example_config</x:v>
      </x:c>
      <x:c r="B52" s="88" t="str">
        <x:v>config/coefficients_registry.example.yaml</x:v>
      </x:c>
      <x:c r="C52" s="88" t="str">
        <x:v>layer1_signals</x:v>
      </x:c>
      <x:c r="D52" s="88" t="str">
        <x:v>peer_divergence.py</x:v>
      </x:c>
      <x:c r="E52" s="88" t="str">
        <x:v>score_clip_min</x:v>
      </x:c>
      <x:c r="F52" s="88" t="n">
        <x:v>0</x:v>
      </x:c>
      <x:c r="G52" s="88" t="n">
        <x:v>0</x:v>
      </x:c>
      <x:c r="H52" s="88" t="n">
        <x:v>0.5</x:v>
      </x:c>
      <x:c r="I52" s="88" t="n">
        <x:v>0.05</x:v>
      </x:c>
      <x:c r="J52" s="88" t="str">
        <x:v>test_band</x:v>
      </x:c>
      <x:c r="K52" s="88" t="str">
        <x:v>Medium</x:v>
      </x:c>
      <x:c r="L52" s="90" t="str">
        <x:v>Lower clip for remapped score.</x:v>
      </x:c>
    </x:row>
    <x:row r="53" ht="17.08984375" hidden="0" customHeight="1">
      <x:c r="A53" s="89" t="str">
        <x:v>legacy_example_config</x:v>
      </x:c>
      <x:c r="B53" s="88" t="str">
        <x:v>config/coefficients_registry.example.yaml</x:v>
      </x:c>
      <x:c r="C53" s="88" t="str">
        <x:v>layer1_signals</x:v>
      </x:c>
      <x:c r="D53" s="88" t="str">
        <x:v>peer_divergence.py</x:v>
      </x:c>
      <x:c r="E53" s="88" t="str">
        <x:v>score_clip_max</x:v>
      </x:c>
      <x:c r="F53" s="88" t="n">
        <x:v>1</x:v>
      </x:c>
      <x:c r="G53" s="88" t="n">
        <x:v>0.5</x:v>
      </x:c>
      <x:c r="H53" s="88" t="n">
        <x:v>1</x:v>
      </x:c>
      <x:c r="I53" s="88" t="n">
        <x:v>0.05</x:v>
      </x:c>
      <x:c r="J53" s="88" t="str">
        <x:v>test_band</x:v>
      </x:c>
      <x:c r="K53" s="88" t="str">
        <x:v>Medium</x:v>
      </x:c>
      <x:c r="L53" s="90" t="str">
        <x:v>Upper clip for remapped score.</x:v>
      </x:c>
    </x:row>
    <x:row r="54" ht="17.08984375" hidden="0" customHeight="1">
      <x:c r="A54" s="89" t="str">
        <x:v>legacy_example_config</x:v>
      </x:c>
      <x:c r="B54" s="88" t="str">
        <x:v>config/coefficients_registry.example.yaml</x:v>
      </x:c>
      <x:c r="C54" s="88" t="str">
        <x:v>layer1_signals</x:v>
      </x:c>
      <x:c r="D54" s="88" t="str">
        <x:v>slv_overlay_score.py</x:v>
      </x:c>
      <x:c r="E54" s="88" t="str">
        <x:v>gamma_density_threshold</x:v>
      </x:c>
      <x:c r="F54" s="88" t="n">
        <x:v>0.15</x:v>
      </x:c>
      <x:c r="G54" s="88" t="n">
        <x:v>0.05</x:v>
      </x:c>
      <x:c r="H54" s="88" t="n">
        <x:v>0.5</x:v>
      </x:c>
      <x:c r="I54" s="88" t="n">
        <x:v>0.05</x:v>
      </x:c>
      <x:c r="J54" s="88" t="str">
        <x:v>test_band</x:v>
      </x:c>
      <x:c r="K54" s="88" t="str">
        <x:v>Medium</x:v>
      </x:c>
      <x:c r="L54" s="90" t="str">
        <x:v>Minimum gamma density.</x:v>
      </x:c>
    </x:row>
    <x:row r="55" ht="17.08984375" hidden="0" customHeight="1">
      <x:c r="A55" s="89" t="str">
        <x:v>legacy_example_config</x:v>
      </x:c>
      <x:c r="B55" s="88" t="str">
        <x:v>config/coefficients_registry.example.yaml</x:v>
      </x:c>
      <x:c r="C55" s="88" t="str">
        <x:v>layer1_signals</x:v>
      </x:c>
      <x:c r="D55" s="88" t="str">
        <x:v>slv_overlay_score.py</x:v>
      </x:c>
      <x:c r="E55" s="88" t="str">
        <x:v>vwap_proximity_pct</x:v>
      </x:c>
      <x:c r="F55" s="88" t="n">
        <x:v>1.5</x:v>
      </x:c>
      <x:c r="G55" s="88" t="n">
        <x:v>0.25</x:v>
      </x:c>
      <x:c r="H55" s="88" t="n">
        <x:v>3</x:v>
      </x:c>
      <x:c r="I55" s="88" t="n">
        <x:v>0.05</x:v>
      </x:c>
      <x:c r="J55" s="88" t="str">
        <x:v>test_band</x:v>
      </x:c>
      <x:c r="K55" s="88" t="str">
        <x:v>Medium</x:v>
      </x:c>
      <x:c r="L55" s="90" t="str">
        <x:v>Allowed distance from VWAP.</x:v>
      </x:c>
    </x:row>
    <x:row r="56" ht="17.08984375" hidden="0" customHeight="1">
      <x:c r="A56" s="89" t="str">
        <x:v>legacy_example_config</x:v>
      </x:c>
      <x:c r="B56" s="88" t="str">
        <x:v>config/coefficients_registry.example.yaml</x:v>
      </x:c>
      <x:c r="C56" s="88" t="str">
        <x:v>layer1_signals</x:v>
      </x:c>
      <x:c r="D56" s="88" t="str">
        <x:v>skew_inflection.py</x:v>
      </x:c>
      <x:c r="E56" s="88" t="str">
        <x:v>skew_change_threshold</x:v>
      </x:c>
      <x:c r="F56" s="88" t="n">
        <x:v>0.2</x:v>
      </x:c>
      <x:c r="G56" s="88" t="n">
        <x:v>0.05</x:v>
      </x:c>
      <x:c r="H56" s="88" t="n">
        <x:v>0.5</x:v>
      </x:c>
      <x:c r="I56" s="88" t="n">
        <x:v>0.01</x:v>
      </x:c>
      <x:c r="J56" s="88" t="str">
        <x:v>test_band</x:v>
      </x:c>
      <x:c r="K56" s="88" t="str">
        <x:v>Medium</x:v>
      </x:c>
      <x:c r="L56" s="90" t="str">
        <x:v>Skew-flip detection threshold.</x:v>
      </x:c>
    </x:row>
    <x:row r="57" ht="17.08984375" hidden="0" customHeight="1">
      <x:c r="A57" s="89" t="str">
        <x:v>legacy_example_config</x:v>
      </x:c>
      <x:c r="B57" s="88" t="str">
        <x:v>config/coefficients_registry.example.yaml</x:v>
      </x:c>
      <x:c r="C57" s="88" t="str">
        <x:v>layer1_signals</x:v>
      </x:c>
      <x:c r="D57" s="88" t="str">
        <x:v>phase_detector.py</x:v>
      </x:c>
      <x:c r="E57" s="88" t="str">
        <x:v>open_start_time</x:v>
      </x:c>
      <x:c r="F57" s="88" t="str">
        <x:v>09:30</x:v>
      </x:c>
      <x:c r="G57" s="88"/>
      <x:c r="H57" s="88"/>
      <x:c r="I57" s="88"/>
      <x:c r="J57" s="88" t="str">
        <x:v>test_band</x:v>
      </x:c>
      <x:c r="K57" s="88" t="str">
        <x:v>Medium</x:v>
      </x:c>
      <x:c r="L57" s="90" t="str">
        <x:v>Market open time.</x:v>
      </x:c>
    </x:row>
    <x:row r="58" ht="17.08984375" hidden="0" customHeight="1">
      <x:c r="A58" s="89" t="str">
        <x:v>legacy_example_config</x:v>
      </x:c>
      <x:c r="B58" s="88" t="str">
        <x:v>config/coefficients_registry.example.yaml</x:v>
      </x:c>
      <x:c r="C58" s="88" t="str">
        <x:v>layer1_signals</x:v>
      </x:c>
      <x:c r="D58" s="88" t="str">
        <x:v>phase_detector.py</x:v>
      </x:c>
      <x:c r="E58" s="88" t="str">
        <x:v>ramp_end_time</x:v>
      </x:c>
      <x:c r="F58" s="88" t="str">
        <x:v>10:30</x:v>
      </x:c>
      <x:c r="G58" s="88"/>
      <x:c r="H58" s="88"/>
      <x:c r="I58" s="88"/>
      <x:c r="J58" s="88" t="str">
        <x:v>test_band</x:v>
      </x:c>
      <x:c r="K58" s="88" t="str">
        <x:v>Medium</x:v>
      </x:c>
      <x:c r="L58" s="90" t="str">
        <x:v>End of opening ramp.</x:v>
      </x:c>
    </x:row>
    <x:row r="59" ht="17.08984375" hidden="0" customHeight="1">
      <x:c r="A59" s="89" t="str">
        <x:v>legacy_example_config</x:v>
      </x:c>
      <x:c r="B59" s="88" t="str">
        <x:v>config/coefficients_registry.example.yaml</x:v>
      </x:c>
      <x:c r="C59" s="88" t="str">
        <x:v>layer1_signals</x:v>
      </x:c>
      <x:c r="D59" s="88" t="str">
        <x:v>phase_detector.py</x:v>
      </x:c>
      <x:c r="E59" s="88" t="str">
        <x:v>lunch_start_time</x:v>
      </x:c>
      <x:c r="F59" s="88" t="str">
        <x:v>11:30</x:v>
      </x:c>
      <x:c r="G59" s="88"/>
      <x:c r="H59" s="88"/>
      <x:c r="I59" s="88"/>
      <x:c r="J59" s="88" t="str">
        <x:v>test_band</x:v>
      </x:c>
      <x:c r="K59" s="88" t="str">
        <x:v>Medium</x:v>
      </x:c>
      <x:c r="L59" s="90" t="str">
        <x:v>Optional lunch phase boundary.</x:v>
      </x:c>
    </x:row>
    <x:row r="60" ht="17.08984375" hidden="0" customHeight="1">
      <x:c r="A60" s="89" t="str">
        <x:v>legacy_example_config</x:v>
      </x:c>
      <x:c r="B60" s="88" t="str">
        <x:v>config/coefficients_registry.example.yaml</x:v>
      </x:c>
      <x:c r="C60" s="88" t="str">
        <x:v>layer1_signals</x:v>
      </x:c>
      <x:c r="D60" s="88" t="str">
        <x:v>volume_spike_filter.py</x:v>
      </x:c>
      <x:c r="E60" s="88" t="str">
        <x:v>spike_threshold</x:v>
      </x:c>
      <x:c r="F60" s="88" t="n">
        <x:v>3</x:v>
      </x:c>
      <x:c r="G60" s="88" t="n">
        <x:v>1.5</x:v>
      </x:c>
      <x:c r="H60" s="88" t="n">
        <x:v>6</x:v>
      </x:c>
      <x:c r="I60" s="88" t="n">
        <x:v>0.25</x:v>
      </x:c>
      <x:c r="J60" s="88" t="str">
        <x:v>test_band</x:v>
      </x:c>
      <x:c r="K60" s="88" t="str">
        <x:v>Medium</x:v>
      </x:c>
      <x:c r="L60" s="90" t="str">
        <x:v>Volume multiple over baseline.</x:v>
      </x:c>
    </x:row>
    <x:row r="61" ht="17.08984375" hidden="0" customHeight="1">
      <x:c r="A61" s="89" t="str">
        <x:v>legacy_example_config</x:v>
      </x:c>
      <x:c r="B61" s="88" t="str">
        <x:v>config/coefficients_registry.example.yaml</x:v>
      </x:c>
      <x:c r="C61" s="88" t="str">
        <x:v>layer1_signals</x:v>
      </x:c>
      <x:c r="D61" s="88" t="str">
        <x:v>volume_spike_filter.py</x:v>
      </x:c>
      <x:c r="E61" s="88" t="str">
        <x:v>baseline_window</x:v>
      </x:c>
      <x:c r="F61" s="88" t="n">
        <x:v>20</x:v>
      </x:c>
      <x:c r="G61" s="88" t="n">
        <x:v>5</x:v>
      </x:c>
      <x:c r="H61" s="88" t="n">
        <x:v>100</x:v>
      </x:c>
      <x:c r="I61" s="88" t="n">
        <x:v>5</x:v>
      </x:c>
      <x:c r="J61" s="88" t="str">
        <x:v>test_band</x:v>
      </x:c>
      <x:c r="K61" s="88" t="str">
        <x:v>Medium</x:v>
      </x:c>
      <x:c r="L61" s="90" t="str">
        <x:v>Volume baseline window.</x:v>
      </x:c>
    </x:row>
    <x:row r="62" ht="17.08984375" hidden="0" customHeight="1">
      <x:c r="A62" s="89" t="str">
        <x:v>legacy_example_config</x:v>
      </x:c>
      <x:c r="B62" s="88" t="str">
        <x:v>config/coefficients_registry.example.yaml</x:v>
      </x:c>
      <x:c r="C62" s="88" t="str">
        <x:v>layer1_signals</x:v>
      </x:c>
      <x:c r="D62" s="88" t="str">
        <x:v>vix_spread_detector.py</x:v>
      </x:c>
      <x:c r="E62" s="88" t="str">
        <x:v>spread_threshold</x:v>
      </x:c>
      <x:c r="F62" s="88" t="n">
        <x:v>15</x:v>
      </x:c>
      <x:c r="G62" s="88" t="n">
        <x:v>5</x:v>
      </x:c>
      <x:c r="H62" s="88" t="n">
        <x:v>30</x:v>
      </x:c>
      <x:c r="I62" s="88" t="n">
        <x:v>1</x:v>
      </x:c>
      <x:c r="J62" s="88" t="str">
        <x:v>test_band</x:v>
      </x:c>
      <x:c r="K62" s="88" t="str">
        <x:v>Medium</x:v>
      </x:c>
      <x:c r="L62" s="90" t="str">
        <x:v>VVIX-VIX spread threshold.</x:v>
      </x:c>
    </x:row>
    <x:row r="63" ht="17.08984375" hidden="0" customHeight="1">
      <x:c r="A63" s="89" t="str">
        <x:v>legacy_example_config</x:v>
      </x:c>
      <x:c r="B63" s="88" t="str">
        <x:v>config/coefficients_registry.example.yaml</x:v>
      </x:c>
      <x:c r="C63" s="88" t="str">
        <x:v>layer1_signals</x:v>
      </x:c>
      <x:c r="D63" s="88" t="str">
        <x:v>archetype_matcher.py</x:v>
      </x:c>
      <x:c r="E63" s="88" t="str">
        <x:v>squeeze_std_threshold</x:v>
      </x:c>
      <x:c r="F63" s="88" t="n">
        <x:v>0.5</x:v>
      </x:c>
      <x:c r="G63" s="88" t="n">
        <x:v>0.1</x:v>
      </x:c>
      <x:c r="H63" s="88" t="n">
        <x:v>2</x:v>
      </x:c>
      <x:c r="I63" s="88" t="n">
        <x:v>0.05</x:v>
      </x:c>
      <x:c r="J63" s="88" t="str">
        <x:v>test_band</x:v>
      </x:c>
      <x:c r="K63" s="88" t="str">
        <x:v>Medium</x:v>
      </x:c>
      <x:c r="L63" s="90" t="str">
        <x:v>Squeeze classifier.</x:v>
      </x:c>
    </x:row>
    <x:row r="64" ht="17.08984375" hidden="0" customHeight="1">
      <x:c r="A64" s="89" t="str">
        <x:v>legacy_example_config</x:v>
      </x:c>
      <x:c r="B64" s="88" t="str">
        <x:v>config/coefficients_registry.example.yaml</x:v>
      </x:c>
      <x:c r="C64" s="88" t="str">
        <x:v>layer1_signals</x:v>
      </x:c>
      <x:c r="D64" s="88" t="str">
        <x:v>archetype_matcher.py</x:v>
      </x:c>
      <x:c r="E64" s="88" t="str">
        <x:v>breakout_std_threshold</x:v>
      </x:c>
      <x:c r="F64" s="88" t="n">
        <x:v>2</x:v>
      </x:c>
      <x:c r="G64" s="88" t="n">
        <x:v>0.5</x:v>
      </x:c>
      <x:c r="H64" s="88" t="n">
        <x:v>5</x:v>
      </x:c>
      <x:c r="I64" s="88" t="n">
        <x:v>0.1</x:v>
      </x:c>
      <x:c r="J64" s="88" t="str">
        <x:v>test_band</x:v>
      </x:c>
      <x:c r="K64" s="88" t="str">
        <x:v>Medium</x:v>
      </x:c>
      <x:c r="L64" s="90" t="str">
        <x:v>Breakout classifier.</x:v>
      </x:c>
    </x:row>
    <x:row r="65" ht="17.08984375" hidden="0" customHeight="1">
      <x:c r="A65" s="89" t="str">
        <x:v>legacy_example_config</x:v>
      </x:c>
      <x:c r="B65" s="88" t="str">
        <x:v>config/coefficients_registry.example.yaml</x:v>
      </x:c>
      <x:c r="C65" s="88" t="str">
        <x:v>layer1_signals</x:v>
      </x:c>
      <x:c r="D65" s="88" t="str">
        <x:v>execution_context_score.py</x:v>
      </x:c>
      <x:c r="E65" s="88" t="str">
        <x:v>macro_weight</x:v>
      </x:c>
      <x:c r="F65" s="88" t="n">
        <x:v>0.5</x:v>
      </x:c>
      <x:c r="G65" s="88" t="n">
        <x:v>0.1</x:v>
      </x:c>
      <x:c r="H65" s="88" t="n">
        <x:v>0.8</x:v>
      </x:c>
      <x:c r="I65" s="88" t="n">
        <x:v>0.05</x:v>
      </x:c>
      <x:c r="J65" s="88" t="str">
        <x:v>test_band</x:v>
      </x:c>
      <x:c r="K65" s="88" t="str">
        <x:v>Medium</x:v>
      </x:c>
      <x:c r="L65" s="90" t="str">
        <x:v>Weight on macro subscore.</x:v>
      </x:c>
    </x:row>
    <x:row r="66" ht="17.08984375" hidden="0" customHeight="1">
      <x:c r="A66" s="89" t="str">
        <x:v>legacy_example_config</x:v>
      </x:c>
      <x:c r="B66" s="88" t="str">
        <x:v>config/coefficients_registry.example.yaml</x:v>
      </x:c>
      <x:c r="C66" s="88" t="str">
        <x:v>layer1_signals</x:v>
      </x:c>
      <x:c r="D66" s="88" t="str">
        <x:v>execution_context_score.py</x:v>
      </x:c>
      <x:c r="E66" s="88" t="str">
        <x:v>peer_weight</x:v>
      </x:c>
      <x:c r="F66" s="88" t="n">
        <x:v>0.3</x:v>
      </x:c>
      <x:c r="G66" s="88" t="n">
        <x:v>0.1</x:v>
      </x:c>
      <x:c r="H66" s="88" t="n">
        <x:v>0.6</x:v>
      </x:c>
      <x:c r="I66" s="88" t="n">
        <x:v>0.05</x:v>
      </x:c>
      <x:c r="J66" s="88" t="str">
        <x:v>test_band</x:v>
      </x:c>
      <x:c r="K66" s="88" t="str">
        <x:v>Medium</x:v>
      </x:c>
      <x:c r="L66" s="90" t="str">
        <x:v>Weight on peer subscore.</x:v>
      </x:c>
    </x:row>
    <x:row r="67" ht="17.08984375" hidden="0" customHeight="1">
      <x:c r="A67" s="89" t="str">
        <x:v>legacy_example_config</x:v>
      </x:c>
      <x:c r="B67" s="88" t="str">
        <x:v>config/coefficients_registry.example.yaml</x:v>
      </x:c>
      <x:c r="C67" s="88" t="str">
        <x:v>layer1_signals</x:v>
      </x:c>
      <x:c r="D67" s="88" t="str">
        <x:v>execution_context_score.py</x:v>
      </x:c>
      <x:c r="E67" s="88" t="str">
        <x:v>volume_weight</x:v>
      </x:c>
      <x:c r="F67" s="88" t="n">
        <x:v>0.2</x:v>
      </x:c>
      <x:c r="G67" s="88" t="n">
        <x:v>0.1</x:v>
      </x:c>
      <x:c r="H67" s="88" t="n">
        <x:v>0.5</x:v>
      </x:c>
      <x:c r="I67" s="88" t="n">
        <x:v>0.05</x:v>
      </x:c>
      <x:c r="J67" s="88" t="str">
        <x:v>test_band</x:v>
      </x:c>
      <x:c r="K67" s="88" t="str">
        <x:v>Medium</x:v>
      </x:c>
      <x:c r="L67" s="90" t="str">
        <x:v>Weight on breakout/trap subscore.</x:v>
      </x:c>
    </x:row>
    <x:row r="68" ht="17.08984375" hidden="0" customHeight="1">
      <x:c r="A68" s="89" t="str">
        <x:v>legacy_example_config</x:v>
      </x:c>
      <x:c r="B68" s="88" t="str">
        <x:v>config/coefficients_registry.example.yaml</x:v>
      </x:c>
      <x:c r="C68" s="88" t="str">
        <x:v>layer2_scoring</x:v>
      </x:c>
      <x:c r="D68" s="88" t="str">
        <x:v>engine_score.py</x:v>
      </x:c>
      <x:c r="E68" s="88" t="str">
        <x:v>high_confidence_threshold</x:v>
      </x:c>
      <x:c r="F68" s="88" t="n">
        <x:v>0.75</x:v>
      </x:c>
      <x:c r="G68" s="88" t="n">
        <x:v>0.6</x:v>
      </x:c>
      <x:c r="H68" s="88" t="n">
        <x:v>0.9</x:v>
      </x:c>
      <x:c r="I68" s="88" t="n">
        <x:v>0.05</x:v>
      </x:c>
      <x:c r="J68" s="88" t="str">
        <x:v>test_band</x:v>
      </x:c>
      <x:c r="K68" s="88" t="str">
        <x:v>Medium</x:v>
      </x:c>
      <x:c r="L68" s="90" t="str">
        <x:v>Threshold for high confidence.</x:v>
      </x:c>
    </x:row>
    <x:row r="69" ht="17.08984375" hidden="0" customHeight="1">
      <x:c r="A69" s="89" t="str">
        <x:v>legacy_example_config</x:v>
      </x:c>
      <x:c r="B69" s="88" t="str">
        <x:v>config/coefficients_registry.example.yaml</x:v>
      </x:c>
      <x:c r="C69" s="88" t="str">
        <x:v>layer2_scoring</x:v>
      </x:c>
      <x:c r="D69" s="88" t="str">
        <x:v>engine_score.py</x:v>
      </x:c>
      <x:c r="E69" s="88" t="str">
        <x:v>medium_confidence_threshold</x:v>
      </x:c>
      <x:c r="F69" s="88" t="n">
        <x:v>0.5</x:v>
      </x:c>
      <x:c r="G69" s="88" t="n">
        <x:v>0.3</x:v>
      </x:c>
      <x:c r="H69" s="88" t="n">
        <x:v>0.75</x:v>
      </x:c>
      <x:c r="I69" s="88" t="n">
        <x:v>0.05</x:v>
      </x:c>
      <x:c r="J69" s="88" t="str">
        <x:v>test_band</x:v>
      </x:c>
      <x:c r="K69" s="88" t="str">
        <x:v>Medium</x:v>
      </x:c>
      <x:c r="L69" s="90" t="str">
        <x:v>Threshold for medium confidence.</x:v>
      </x:c>
    </x:row>
    <x:row r="70" ht="17.08984375" hidden="0" customHeight="1">
      <x:c r="A70" s="89" t="str">
        <x:v>legacy_example_config</x:v>
      </x:c>
      <x:c r="B70" s="88" t="str">
        <x:v>config/coefficients_registry.example.yaml</x:v>
      </x:c>
      <x:c r="C70" s="88" t="str">
        <x:v>layer2_scoring</x:v>
      </x:c>
      <x:c r="D70" s="88" t="str">
        <x:v>engine_score.py</x:v>
      </x:c>
      <x:c r="E70" s="88" t="str">
        <x:v>missing_weight_default</x:v>
      </x:c>
      <x:c r="F70" s="88" t="n">
        <x:v>0.1</x:v>
      </x:c>
      <x:c r="G70" s="88" t="n">
        <x:v>0</x:v>
      </x:c>
      <x:c r="H70" s="88" t="n">
        <x:v>0.25</x:v>
      </x:c>
      <x:c r="I70" s="88" t="n">
        <x:v>0.01</x:v>
      </x:c>
      <x:c r="J70" s="88" t="str">
        <x:v>test_band</x:v>
      </x:c>
      <x:c r="K70" s="88" t="str">
        <x:v>Medium</x:v>
      </x:c>
      <x:c r="L70" s="90" t="str">
        <x:v>Fallback module weight.</x:v>
      </x:c>
    </x:row>
    <x:row r="71" ht="17.08984375" hidden="0" customHeight="1">
      <x:c r="A71" s="89" t="str">
        <x:v>legacy_example_config</x:v>
      </x:c>
      <x:c r="B71" s="88" t="str">
        <x:v>config/coefficients_registry.example.yaml</x:v>
      </x:c>
      <x:c r="C71" s="88" t="str">
        <x:v>layer3_decision</x:v>
      </x:c>
      <x:c r="D71" s="88" t="str">
        <x:v>entry_gate.py</x:v>
      </x:c>
      <x:c r="E71" s="88" t="str">
        <x:v>score_floor</x:v>
      </x:c>
      <x:c r="F71" s="88" t="n">
        <x:v>0.65</x:v>
      </x:c>
      <x:c r="G71" s="88" t="n">
        <x:v>0.4</x:v>
      </x:c>
      <x:c r="H71" s="88" t="n">
        <x:v>0.9</x:v>
      </x:c>
      <x:c r="I71" s="88" t="n">
        <x:v>0.05</x:v>
      </x:c>
      <x:c r="J71" s="88" t="str">
        <x:v>test_band</x:v>
      </x:c>
      <x:c r="K71" s="88" t="str">
        <x:v>Medium</x:v>
      </x:c>
      <x:c r="L71" s="90" t="str">
        <x:v>Minimum score for entry eligibility.</x:v>
      </x:c>
    </x:row>
    <x:row r="72" ht="17.08984375" hidden="0" customHeight="1">
      <x:c r="A72" s="89" t="str">
        <x:v>legacy_example_config</x:v>
      </x:c>
      <x:c r="B72" s="88" t="str">
        <x:v>config/coefficients_registry.example.yaml</x:v>
      </x:c>
      <x:c r="C72" s="88" t="str">
        <x:v>layer3_decision</x:v>
      </x:c>
      <x:c r="D72" s="88" t="str">
        <x:v>ladder_constructor.py</x:v>
      </x:c>
      <x:c r="E72" s="88" t="str">
        <x:v>strike_count</x:v>
      </x:c>
      <x:c r="F72" s="88" t="n">
        <x:v>5</x:v>
      </x:c>
      <x:c r="G72" s="88" t="n">
        <x:v>3</x:v>
      </x:c>
      <x:c r="H72" s="88" t="n">
        <x:v>10</x:v>
      </x:c>
      <x:c r="I72" s="88" t="n">
        <x:v>1</x:v>
      </x:c>
      <x:c r="J72" s="88" t="str">
        <x:v>test_band</x:v>
      </x:c>
      <x:c r="K72" s="88" t="str">
        <x:v>Medium</x:v>
      </x:c>
      <x:c r="L72" s="90" t="str">
        <x:v>Number of strikes in ladder.</x:v>
      </x:c>
    </x:row>
    <x:row r="73" ht="17.08984375" hidden="0" customHeight="1">
      <x:c r="A73" s="89" t="str">
        <x:v>legacy_example_config</x:v>
      </x:c>
      <x:c r="B73" s="88" t="str">
        <x:v>config/coefficients_registry.example.yaml</x:v>
      </x:c>
      <x:c r="C73" s="88" t="str">
        <x:v>layer3_decision</x:v>
      </x:c>
      <x:c r="D73" s="88" t="str">
        <x:v>ladder_constructor.py</x:v>
      </x:c>
      <x:c r="E73" s="88" t="str">
        <x:v>spread_pct</x:v>
      </x:c>
      <x:c r="F73" s="88" t="n">
        <x:v>2.5</x:v>
      </x:c>
      <x:c r="G73" s="88" t="n">
        <x:v>0.5</x:v>
      </x:c>
      <x:c r="H73" s="88" t="n">
        <x:v>5</x:v>
      </x:c>
      <x:c r="I73" s="88" t="n">
        <x:v>0.25</x:v>
      </x:c>
      <x:c r="J73" s="88" t="str">
        <x:v>test_band</x:v>
      </x:c>
      <x:c r="K73" s="88" t="str">
        <x:v>Medium</x:v>
      </x:c>
      <x:c r="L73" s="90" t="str">
        <x:v>Ladder spread around spot.</x:v>
      </x:c>
    </x:row>
    <x:row r="74" ht="17.08984375" hidden="0" customHeight="1">
      <x:c r="A74" s="89" t="str">
        <x:v>legacy_example_config</x:v>
      </x:c>
      <x:c r="B74" s="88" t="str">
        <x:v>config/coefficients_registry.example.yaml</x:v>
      </x:c>
      <x:c r="C74" s="88" t="str">
        <x:v>layer3_decision</x:v>
      </x:c>
      <x:c r="D74" s="88" t="str">
        <x:v>slv_validator.py</x:v>
      </x:c>
      <x:c r="E74" s="88" t="str">
        <x:v>gamma_weight</x:v>
      </x:c>
      <x:c r="F74" s="88" t="n">
        <x:v>0.4</x:v>
      </x:c>
      <x:c r="G74" s="88" t="n">
        <x:v>0.1</x:v>
      </x:c>
      <x:c r="H74" s="88" t="n">
        <x:v>0.7</x:v>
      </x:c>
      <x:c r="I74" s="88" t="n">
        <x:v>0.05</x:v>
      </x:c>
      <x:c r="J74" s="88" t="str">
        <x:v>test_band</x:v>
      </x:c>
      <x:c r="K74" s="88" t="str">
        <x:v>Medium</x:v>
      </x:c>
      <x:c r="L74" s="90" t="str">
        <x:v>Gamma component weight.</x:v>
      </x:c>
    </x:row>
    <x:row r="75" ht="17.08984375" hidden="0" customHeight="1">
      <x:c r="A75" s="89" t="str">
        <x:v>legacy_example_config</x:v>
      </x:c>
      <x:c r="B75" s="88" t="str">
        <x:v>config/coefficients_registry.example.yaml</x:v>
      </x:c>
      <x:c r="C75" s="88" t="str">
        <x:v>layer3_decision</x:v>
      </x:c>
      <x:c r="D75" s="88" t="str">
        <x:v>slv_validator.py</x:v>
      </x:c>
      <x:c r="E75" s="88" t="str">
        <x:v>vwap_weight</x:v>
      </x:c>
      <x:c r="F75" s="88" t="n">
        <x:v>0.3</x:v>
      </x:c>
      <x:c r="G75" s="88" t="n">
        <x:v>0.1</x:v>
      </x:c>
      <x:c r="H75" s="88" t="n">
        <x:v>0.7</x:v>
      </x:c>
      <x:c r="I75" s="88" t="n">
        <x:v>0.05</x:v>
      </x:c>
      <x:c r="J75" s="88" t="str">
        <x:v>test_band</x:v>
      </x:c>
      <x:c r="K75" s="88" t="str">
        <x:v>Medium</x:v>
      </x:c>
      <x:c r="L75" s="90" t="str">
        <x:v>VWAP component weight.</x:v>
      </x:c>
    </x:row>
    <x:row r="76" ht="17.08984375" hidden="0" customHeight="1">
      <x:c r="A76" s="89" t="str">
        <x:v>legacy_example_config</x:v>
      </x:c>
      <x:c r="B76" s="88" t="str">
        <x:v>config/coefficients_registry.example.yaml</x:v>
      </x:c>
      <x:c r="C76" s="88" t="str">
        <x:v>layer3_decision</x:v>
      </x:c>
      <x:c r="D76" s="88" t="str">
        <x:v>slv_validator.py</x:v>
      </x:c>
      <x:c r="E76" s="88" t="str">
        <x:v>oi_weight</x:v>
      </x:c>
      <x:c r="F76" s="88" t="n">
        <x:v>0.3</x:v>
      </x:c>
      <x:c r="G76" s="88" t="n">
        <x:v>0.1</x:v>
      </x:c>
      <x:c r="H76" s="88" t="n">
        <x:v>0.7</x:v>
      </x:c>
      <x:c r="I76" s="88" t="n">
        <x:v>0.05</x:v>
      </x:c>
      <x:c r="J76" s="88" t="str">
        <x:v>test_band</x:v>
      </x:c>
      <x:c r="K76" s="88" t="str">
        <x:v>Medium</x:v>
      </x:c>
      <x:c r="L76" s="90" t="str">
        <x:v>Open-interest component weight.</x:v>
      </x:c>
    </x:row>
    <x:row r="77" ht="17.08984375" hidden="0" customHeight="1">
      <x:c r="A77" s="89" t="str">
        <x:v>legacy_example_config</x:v>
      </x:c>
      <x:c r="B77" s="88" t="str">
        <x:v>config/coefficients_registry.example.yaml</x:v>
      </x:c>
      <x:c r="C77" s="88" t="str">
        <x:v>layer3_decision</x:v>
      </x:c>
      <x:c r="D77" s="88" t="str">
        <x:v>slv_validator.py</x:v>
      </x:c>
      <x:c r="E77" s="88" t="str">
        <x:v>gamma_min</x:v>
      </x:c>
      <x:c r="F77" s="88" t="n">
        <x:v>0.05</x:v>
      </x:c>
      <x:c r="G77" s="88" t="n">
        <x:v>0.01</x:v>
      </x:c>
      <x:c r="H77" s="88" t="n">
        <x:v>0.2</x:v>
      </x:c>
      <x:c r="I77" s="88" t="n">
        <x:v>0.01</x:v>
      </x:c>
      <x:c r="J77" s="88" t="str">
        <x:v>test_band</x:v>
      </x:c>
      <x:c r="K77" s="88" t="str">
        <x:v>Medium</x:v>
      </x:c>
      <x:c r="L77" s="90" t="str">
        <x:v>Minimum gamma before credit.</x:v>
      </x:c>
    </x:row>
    <x:row r="78" ht="17.08984375" hidden="0" customHeight="1">
      <x:c r="A78" s="89" t="str">
        <x:v>legacy_example_config</x:v>
      </x:c>
      <x:c r="B78" s="88" t="str">
        <x:v>config/coefficients_registry.example.yaml</x:v>
      </x:c>
      <x:c r="C78" s="88" t="str">
        <x:v>layer3_decision</x:v>
      </x:c>
      <x:c r="D78" s="88" t="str">
        <x:v>slv_validator.py</x:v>
      </x:c>
      <x:c r="E78" s="88" t="str">
        <x:v>vwap_dist_max_pct</x:v>
      </x:c>
      <x:c r="F78" s="88" t="n">
        <x:v>1</x:v>
      </x:c>
      <x:c r="G78" s="88" t="n">
        <x:v>0.25</x:v>
      </x:c>
      <x:c r="H78" s="88" t="n">
        <x:v>3</x:v>
      </x:c>
      <x:c r="I78" s="88" t="n">
        <x:v>0.05</x:v>
      </x:c>
      <x:c r="J78" s="88" t="str">
        <x:v>test_band</x:v>
      </x:c>
      <x:c r="K78" s="88" t="str">
        <x:v>Medium</x:v>
      </x:c>
      <x:c r="L78" s="90" t="str">
        <x:v>Max VWAP distance for full score.</x:v>
      </x:c>
    </x:row>
    <x:row r="79" ht="17.08984375" hidden="0" customHeight="1">
      <x:c r="A79" s="89" t="str">
        <x:v>legacy_example_config</x:v>
      </x:c>
      <x:c r="B79" s="88" t="str">
        <x:v>config/coefficients_registry.example.yaml</x:v>
      </x:c>
      <x:c r="C79" s="88" t="str">
        <x:v>layer3_decision</x:v>
      </x:c>
      <x:c r="D79" s="88" t="str">
        <x:v>slv_validator.py</x:v>
      </x:c>
      <x:c r="E79" s="88" t="str">
        <x:v>zone_score_threshold</x:v>
      </x:c>
      <x:c r="F79" s="88" t="n">
        <x:v>0.5</x:v>
      </x:c>
      <x:c r="G79" s="88" t="n">
        <x:v>0.2</x:v>
      </x:c>
      <x:c r="H79" s="88" t="n">
        <x:v>0.8</x:v>
      </x:c>
      <x:c r="I79" s="88" t="n">
        <x:v>0.05</x:v>
      </x:c>
      <x:c r="J79" s="88" t="str">
        <x:v>test_band</x:v>
      </x:c>
      <x:c r="K79" s="88" t="str">
        <x:v>Medium</x:v>
      </x:c>
      <x:c r="L79" s="90" t="str">
        <x:v>Validation threshold.</x:v>
      </x:c>
    </x:row>
    <x:row r="80" ht="17.08984375" hidden="0" customHeight="1">
      <x:c r="A80" s="89" t="str">
        <x:v>legacy_example_config</x:v>
      </x:c>
      <x:c r="B80" s="88" t="str">
        <x:v>config/coefficients_registry.example.yaml</x:v>
      </x:c>
      <x:c r="C80" s="88" t="str">
        <x:v>layer3_decision</x:v>
      </x:c>
      <x:c r="D80" s="88" t="str">
        <x:v>fill_bias_adjuster.py</x:v>
      </x:c>
      <x:c r="E80" s="88" t="str">
        <x:v>vwap_slope_weight</x:v>
      </x:c>
      <x:c r="F80" s="88" t="n">
        <x:v>0.6</x:v>
      </x:c>
      <x:c r="G80" s="88" t="n">
        <x:v>0.1</x:v>
      </x:c>
      <x:c r="H80" s="88" t="n">
        <x:v>0.9</x:v>
      </x:c>
      <x:c r="I80" s="88" t="n">
        <x:v>0.05</x:v>
      </x:c>
      <x:c r="J80" s="88" t="str">
        <x:v>test_band</x:v>
      </x:c>
      <x:c r="K80" s="88" t="str">
        <x:v>Medium</x:v>
      </x:c>
      <x:c r="L80" s="90" t="str">
        <x:v>Weight on VWAP slope.</x:v>
      </x:c>
    </x:row>
    <x:row r="81" ht="17.08984375" hidden="0" customHeight="1">
      <x:c r="A81" s="89" t="str">
        <x:v>legacy_example_config</x:v>
      </x:c>
      <x:c r="B81" s="88" t="str">
        <x:v>config/coefficients_registry.example.yaml</x:v>
      </x:c>
      <x:c r="C81" s="88" t="str">
        <x:v>layer3_decision</x:v>
      </x:c>
      <x:c r="D81" s="88" t="str">
        <x:v>fill_bias_adjuster.py</x:v>
      </x:c>
      <x:c r="E81" s="88" t="str">
        <x:v>gamma_skew_weight</x:v>
      </x:c>
      <x:c r="F81" s="88" t="n">
        <x:v>0.4</x:v>
      </x:c>
      <x:c r="G81" s="88" t="n">
        <x:v>0.1</x:v>
      </x:c>
      <x:c r="H81" s="88" t="n">
        <x:v>0.9</x:v>
      </x:c>
      <x:c r="I81" s="88" t="n">
        <x:v>0.05</x:v>
      </x:c>
      <x:c r="J81" s="88" t="str">
        <x:v>test_band</x:v>
      </x:c>
      <x:c r="K81" s="88" t="str">
        <x:v>Medium</x:v>
      </x:c>
      <x:c r="L81" s="90" t="str">
        <x:v>Weight on gamma skew.</x:v>
      </x:c>
    </x:row>
    <x:row r="82" ht="17.08984375" hidden="0" customHeight="1">
      <x:c r="A82" s="89" t="str">
        <x:v>legacy_example_config</x:v>
      </x:c>
      <x:c r="B82" s="88" t="str">
        <x:v>config/coefficients_registry.example.yaml</x:v>
      </x:c>
      <x:c r="C82" s="88" t="str">
        <x:v>layer4_execution</x:v>
      </x:c>
      <x:c r="D82" s="88" t="str">
        <x:v>entry_planner.py</x:v>
      </x:c>
      <x:c r="E82" s="88" t="str">
        <x:v>lower_bias_threshold</x:v>
      </x:c>
      <x:c r="F82" s="88" t="n">
        <x:v>0.5</x:v>
      </x:c>
      <x:c r="G82" s="88" t="n">
        <x:v>0.1</x:v>
      </x:c>
      <x:c r="H82" s="88" t="n">
        <x:v>0.9</x:v>
      </x:c>
      <x:c r="I82" s="88" t="n">
        <x:v>0.05</x:v>
      </x:c>
      <x:c r="J82" s="88" t="str">
        <x:v>test_band</x:v>
      </x:c>
      <x:c r="K82" s="88" t="str">
        <x:v>Medium</x:v>
      </x:c>
      <x:c r="L82" s="90" t="str">
        <x:v>Threshold for preferring lower ladder strikes.</x:v>
      </x:c>
    </x:row>
    <x:row r="83" ht="17.08984375" hidden="0" customHeight="1">
      <x:c r="A83" s="89" t="str">
        <x:v>legacy_example_config</x:v>
      </x:c>
      <x:c r="B83" s="88" t="str">
        <x:v>config/coefficients_registry.example.yaml</x:v>
      </x:c>
      <x:c r="C83" s="88" t="str">
        <x:v>layer4_execution</x:v>
      </x:c>
      <x:c r="D83" s="88" t="str">
        <x:v>position_allocator.py</x:v>
      </x:c>
      <x:c r="E83" s="88" t="str">
        <x:v>max_risk_per_trade</x:v>
      </x:c>
      <x:c r="F83" s="88" t="n">
        <x:v>500</x:v>
      </x:c>
      <x:c r="G83" s="88" t="n">
        <x:v>50</x:v>
      </x:c>
      <x:c r="H83" s="88" t="n">
        <x:v>5000</x:v>
      </x:c>
      <x:c r="I83" s="88" t="n">
        <x:v>50</x:v>
      </x:c>
      <x:c r="J83" s="88" t="str">
        <x:v>test_band</x:v>
      </x:c>
      <x:c r="K83" s="88" t="str">
        <x:v>Medium</x:v>
      </x:c>
      <x:c r="L83" s="90" t="str">
        <x:v>Placeholder risk budget.</x:v>
      </x:c>
    </x:row>
    <x:row r="84" ht="17.08984375" hidden="0" customHeight="1">
      <x:c r="A84" s="89" t="str">
        <x:v>legacy_example_config</x:v>
      </x:c>
      <x:c r="B84" s="88" t="str">
        <x:v>config/coefficients_registry.example.yaml</x:v>
      </x:c>
      <x:c r="C84" s="88" t="str">
        <x:v>layer4_execution</x:v>
      </x:c>
      <x:c r="D84" s="88" t="str">
        <x:v>position_allocator.py</x:v>
      </x:c>
      <x:c r="E84" s="88" t="str">
        <x:v>premium_multiplier</x:v>
      </x:c>
      <x:c r="F84" s="88" t="n">
        <x:v>1.2</x:v>
      </x:c>
      <x:c r="G84" s="88" t="n">
        <x:v>0.5</x:v>
      </x:c>
      <x:c r="H84" s="88" t="n">
        <x:v>3</x:v>
      </x:c>
      <x:c r="I84" s="88" t="n">
        <x:v>0.05</x:v>
      </x:c>
      <x:c r="J84" s="88" t="str">
        <x:v>test_band</x:v>
      </x:c>
      <x:c r="K84" s="88" t="str">
        <x:v>Medium</x:v>
      </x:c>
      <x:c r="L84" s="90" t="str">
        <x:v>Placeholder strike-distance to premium mapping.</x:v>
      </x:c>
    </x:row>
    <x:row r="85" ht="17.08984375" hidden="0" customHeight="1">
      <x:c r="A85" s="89" t="str">
        <x:v>legacy_example_config</x:v>
      </x:c>
      <x:c r="B85" s="88" t="str">
        <x:v>config/coefficients_registry.example.yaml</x:v>
      </x:c>
      <x:c r="C85" s="88" t="str">
        <x:v>layer4_execution</x:v>
      </x:c>
      <x:c r="D85" s="88" t="str">
        <x:v>order_simulator.py</x:v>
      </x:c>
      <x:c r="E85" s="88" t="str">
        <x:v>latency_ms</x:v>
      </x:c>
      <x:c r="F85" s="88" t="n">
        <x:v>80</x:v>
      </x:c>
      <x:c r="G85" s="88" t="n">
        <x:v>5</x:v>
      </x:c>
      <x:c r="H85" s="88" t="n">
        <x:v>500</x:v>
      </x:c>
      <x:c r="I85" s="88" t="n">
        <x:v>5</x:v>
      </x:c>
      <x:c r="J85" s="88" t="str">
        <x:v>test_band</x:v>
      </x:c>
      <x:c r="K85" s="88" t="str">
        <x:v>Medium</x:v>
      </x:c>
      <x:c r="L85" s="90" t="str">
        <x:v>Placeholder execution latency.</x:v>
      </x:c>
    </x:row>
    <x:row r="86" ht="17.08984375" hidden="0" customHeight="1">
      <x:c r="A86" s="89" t="str">
        <x:v>legacy_example_config</x:v>
      </x:c>
      <x:c r="B86" s="88" t="str">
        <x:v>config/coefficients_registry.example.yaml</x:v>
      </x:c>
      <x:c r="C86" s="88" t="str">
        <x:v>layer4_execution</x:v>
      </x:c>
      <x:c r="D86" s="88" t="str">
        <x:v>order_simulator.py</x:v>
      </x:c>
      <x:c r="E86" s="88" t="str">
        <x:v>slippage_cap</x:v>
      </x:c>
      <x:c r="F86" s="88" t="n">
        <x:v>0.5</x:v>
      </x:c>
      <x:c r="G86" s="88" t="n">
        <x:v>0.01</x:v>
      </x:c>
      <x:c r="H86" s="88" t="n">
        <x:v>2</x:v>
      </x:c>
      <x:c r="I86" s="88" t="n">
        <x:v>0.01</x:v>
      </x:c>
      <x:c r="J86" s="88" t="str">
        <x:v>test_band</x:v>
      </x:c>
      <x:c r="K86" s="88" t="str">
        <x:v>Medium</x:v>
      </x:c>
      <x:c r="L86" s="90" t="str">
        <x:v>Max simulated slippage.</x:v>
      </x:c>
    </x:row>
    <x:row r="87" ht="17.08984375" hidden="0" customHeight="1">
      <x:c r="A87" s="89" t="str">
        <x:v>legacy_example_config</x:v>
      </x:c>
      <x:c r="B87" s="88" t="str">
        <x:v>config/coefficients_registry.example.yaml</x:v>
      </x:c>
      <x:c r="C87" s="88" t="str">
        <x:v>layer4_execution</x:v>
      </x:c>
      <x:c r="D87" s="88" t="str">
        <x:v>order_simulator.py</x:v>
      </x:c>
      <x:c r="E87" s="88" t="str">
        <x:v>vwap_slippage_factor</x:v>
      </x:c>
      <x:c r="F87" s="88" t="n">
        <x:v>0.02</x:v>
      </x:c>
      <x:c r="G87" s="88" t="n">
        <x:v>0.001</x:v>
      </x:c>
      <x:c r="H87" s="88" t="n">
        <x:v>0.1</x:v>
      </x:c>
      <x:c r="I87" s="88" t="n">
        <x:v>0.001</x:v>
      </x:c>
      <x:c r="J87" s="88" t="str">
        <x:v>test_band</x:v>
      </x:c>
      <x:c r="K87" s="88" t="str">
        <x:v>Medium</x:v>
      </x:c>
      <x:c r="L87" s="90" t="str">
        <x:v>VWAP-distance slippage factor.</x:v>
      </x:c>
    </x:row>
    <x:row r="88" ht="17.08984375" hidden="0" customHeight="1">
      <x:c r="A88" s="89" t="str">
        <x:v>legacy_example_config</x:v>
      </x:c>
      <x:c r="B88" s="88" t="str">
        <x:v>config/coefficients_registry.example.yaml</x:v>
      </x:c>
      <x:c r="C88" s="88" t="str">
        <x:v>layer5_positions</x:v>
      </x:c>
      <x:c r="D88" s="88" t="str">
        <x:v>trailing_stop.py</x:v>
      </x:c>
      <x:c r="E88" s="88" t="str">
        <x:v>trailing_stop_pct</x:v>
      </x:c>
      <x:c r="F88" s="88" t="n">
        <x:v>0.1</x:v>
      </x:c>
      <x:c r="G88" s="88" t="n">
        <x:v>0.02</x:v>
      </x:c>
      <x:c r="H88" s="88" t="n">
        <x:v>0.3</x:v>
      </x:c>
      <x:c r="I88" s="88" t="n">
        <x:v>0.01</x:v>
      </x:c>
      <x:c r="J88" s="88" t="str">
        <x:v>test_band</x:v>
      </x:c>
      <x:c r="K88" s="88" t="str">
        <x:v>Medium</x:v>
      </x:c>
      <x:c r="L88" s="90" t="str">
        <x:v>Trailing stop percentage.</x:v>
      </x:c>
    </x:row>
    <x:row r="89" ht="17.08984375" hidden="0" customHeight="1">
      <x:c r="A89" s="89" t="str">
        <x:v>legacy_example_config</x:v>
      </x:c>
      <x:c r="B89" s="88" t="str">
        <x:v>config/coefficients_registry.example.yaml</x:v>
      </x:c>
      <x:c r="C89" s="88" t="str">
        <x:v>layer5_positions</x:v>
      </x:c>
      <x:c r="D89" s="88" t="str">
        <x:v>take_profit.py</x:v>
      </x:c>
      <x:c r="E89" s="88" t="str">
        <x:v>tp_pct</x:v>
      </x:c>
      <x:c r="F89" s="88" t="n">
        <x:v>0.2</x:v>
      </x:c>
      <x:c r="G89" s="88" t="n">
        <x:v>0.05</x:v>
      </x:c>
      <x:c r="H89" s="88" t="n">
        <x:v>1</x:v>
      </x:c>
      <x:c r="I89" s="88" t="n">
        <x:v>0.05</x:v>
      </x:c>
      <x:c r="J89" s="88" t="str">
        <x:v>test_band</x:v>
      </x:c>
      <x:c r="K89" s="88" t="str">
        <x:v>Medium</x:v>
      </x:c>
      <x:c r="L89" s="90" t="str">
        <x:v>Take-profit percentage.</x:v>
      </x:c>
    </x:row>
    <x:row r="90" ht="17.08984375" hidden="0" customHeight="1">
      <x:c r="A90" s="91" t="str">
        <x:v>legacy_example_config</x:v>
      </x:c>
      <x:c r="B90" s="92" t="str">
        <x:v>config/coefficients_registry.example.yaml</x:v>
      </x:c>
      <x:c r="C90" s="92" t="str">
        <x:v>layer5_positions</x:v>
      </x:c>
      <x:c r="D90" s="92" t="str">
        <x:v>dynamic_partial_exit_model.py</x:v>
      </x:c>
      <x:c r="E90" s="92" t="str">
        <x:v>partial_exit_floor</x:v>
      </x:c>
      <x:c r="F90" s="92" t="n">
        <x:v>0.25</x:v>
      </x:c>
      <x:c r="G90" s="92" t="n">
        <x:v>0.1</x:v>
      </x:c>
      <x:c r="H90" s="92" t="n">
        <x:v>0.75</x:v>
      </x:c>
      <x:c r="I90" s="92" t="n">
        <x:v>0.05</x:v>
      </x:c>
      <x:c r="J90" s="92" t="str">
        <x:v>test_band</x:v>
      </x:c>
      <x:c r="K90" s="92" t="str">
        <x:v>Medium</x:v>
      </x:c>
      <x:c r="L90" s="93" t="str">
        <x:v>Minimum partial exit fraction.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58.13999938964844" hidden="0" customWidth="1"/>
    <x:col min="2" max="2" width="211.2899932861328" hidden="0" customWidth="1"/>
    <x:col min="3" max="3" width="6.289999961853027" hidden="0" customWidth="1"/>
    <x:col min="4" max="4" width="0.05000000074505806" hidden="0" customWidth="1"/>
  </x:cols>
  <x:sheetData>
    <x:row r="1" ht="17.08984375" hidden="0" customHeight="1">
      <x:c r="A1" s="75" t="str">
        <x:v>Coefficient Bounds Brief</x:v>
      </x:c>
      <x:c r="B1" s="75"/>
      <x:c r="C1" s="75"/>
      <x:c r="D1" s="75"/>
    </x:row>
    <x:row r="2" ht="17.08984375" hidden="0" customHeight="1">
      <x:c r="A2" s="78" t="str">
        <x:v>This sheet turns the earlier conversation into an execution brief: what to bound first, how to do it, and what must never be treated as a coefficient.</x:v>
      </x:c>
      <x:c r="B2" s="78"/>
      <x:c r="C2" s="78"/>
      <x:c r="D2" s="78"/>
    </x:row>
    <x:row r="3" ht="17.08984375" hidden="0" customHeight="1">
      <x:c r="A3"/>
      <x:c r="B3"/>
      <x:c r="C3"/>
      <x:c r="D3"/>
    </x:row>
    <x:row r="4" ht="17.08984375" hidden="0" customHeight="1">
      <x:c r="A4" s="84" t="str">
        <x:v>Topic</x:v>
      </x:c>
      <x:c r="B4" s="85" t="str">
        <x:v>Guidance</x:v>
      </x:c>
      <x:c r="C4" s="85" t="str">
        <x:v>Notes</x:v>
      </x:c>
      <x:c r="D4" s="86" t="str"/>
    </x:row>
    <x:row r="5" ht="17.08984375" hidden="0" customHeight="1">
      <x:c r="A5" s="89" t="str">
        <x:v>Goal</x:v>
      </x:c>
      <x:c r="B5" s="88" t="str">
        <x:v>Build a lawful bounded search space before historical testing, not a bag of arbitrary knobs.</x:v>
      </x:c>
      <x:c r="C5" s="88" t="str"/>
      <x:c r="D5" s="90" t="str"/>
    </x:row>
    <x:row r="6" ht="17.08984375" hidden="0" customHeight="1">
      <x:c r="A6" s="89" t="str">
        <x:v>What is fixed</x:v>
      </x:c>
      <x:c r="B6" s="88" t="str">
        <x:v>Clock facts, calendar truth, event identity, grammar order, stage ownership, raw market facts, playbook membership, review lineage.</x:v>
      </x:c>
      <x:c r="C6" s="88" t="str"/>
      <x:c r="D6" s="90" t="str"/>
    </x:row>
    <x:row r="7" ht="17.08984375" hidden="0" customHeight="1">
      <x:c r="A7" s="89" t="str">
        <x:v>What can vary</x:v>
      </x:c>
      <x:c r="B7" s="88" t="str">
        <x:v>Approved mutable runtime surfaces plus later module coefficients that are explicitly admitted into the registry.</x:v>
      </x:c>
      <x:c r="C7" s="88" t="str"/>
      <x:c r="D7" s="90" t="str"/>
    </x:row>
    <x:row r="8" ht="17.08984375" hidden="0" customHeight="1">
      <x:c r="A8" s="89" t="str">
        <x:v>How to research a bound</x:v>
      </x:c>
      <x:c r="B8" s="88" t="str">
        <x:v>1) Understand what the coefficient actually controls. 2) Check owner stage and downstream consequence. 3) Use real market plausibility. 4) Set a starter band. 5) Refine from replay evidence.</x:v>
      </x:c>
      <x:c r="C8" s="88" t="str"/>
      <x:c r="D8" s="90" t="str"/>
    </x:row>
    <x:row r="9" ht="17.08984375" hidden="0" customHeight="1">
      <x:c r="A9" s="89" t="str">
        <x:v>Transform families</x:v>
      </x:c>
      <x:c r="B9" s="88" t="str">
        <x:v>multiplicative_scale; additive_offset; clamp/floor/cap; rank_weight_adjustment; suppression_veto</x:v>
      </x:c>
      <x:c r="C9" s="88" t="str"/>
      <x:c r="D9" s="90" t="str"/>
    </x:row>
    <x:row r="10" ht="17.08984375" hidden="0" customHeight="1">
      <x:c r="A10" s="89" t="str">
        <x:v>Good question</x:v>
      </x:c>
      <x:c r="B10" s="88" t="str">
        <x:v>'What is the lawful operating envelope of this coefficient?'</x:v>
      </x:c>
      <x:c r="C10" s="88" t="str"/>
      <x:c r="D10" s="90" t="str"/>
    </x:row>
    <x:row r="11" ht="17.08984375" hidden="0" customHeight="1">
      <x:c r="A11" s="89" t="str">
        <x:v>Bad question</x:v>
      </x:c>
      <x:c r="B11" s="88" t="str">
        <x:v>'How wide can I make the knob so optimisation finds something?'</x:v>
      </x:c>
      <x:c r="C11" s="88" t="str"/>
      <x:c r="D11" s="90" t="str"/>
    </x:row>
    <x:row r="12" ht="17.08984375" hidden="0" customHeight="1">
      <x:c r="A12" s="89" t="str">
        <x:v>Research order</x:v>
      </x:c>
      <x:c r="B12" s="88" t="str">
        <x:v>1) Runtime mutable surfaces already in code. 2) Temporal Step1 thresholds already in workbook. 3) Legacy example-config coefficients. 4) New coefficients only after module semantics are frozen.</x:v>
      </x:c>
      <x:c r="C12" s="88" t="str"/>
      <x:c r="D12" s="90" t="str"/>
    </x:row>
    <x:row r="13" ht="17.08984375" hidden="0" customHeight="1">
      <x:c r="A13" s="89" t="str">
        <x:v>Practical next step</x:v>
      </x:c>
      <x:c r="B13" s="88" t="str">
        <x:v>Use Repo_Python_Inventory to locate owner files, then use Coeff_Universe_Index + Runtime_Surface_Drivers to decide which coefficients get hard bounds now versus placeholder research bands.</x:v>
      </x:c>
      <x:c r="C13" s="88" t="str"/>
      <x:c r="D13" s="90" t="str"/>
    </x:row>
    <x:row r="14" ht="17.08984375" hidden="0" customHeight="1">
      <x:c r="A14" s="89" t="str">
        <x:v>Confidence labels</x:v>
      </x:c>
      <x:c r="B14" s="88" t="str">
        <x:v>High = already hard-bounded in code. Medium = existing workbook/config band. Low = semantic placeholder awaiting replay evidence.</x:v>
      </x:c>
      <x:c r="C14" s="88" t="str"/>
      <x:c r="D14" s="90" t="str"/>
    </x:row>
    <x:row r="15" ht="17.08984375" hidden="0" customHeight="1">
      <x:c r="A15" s="91" t="str">
        <x:v>Output discipline</x:v>
      </x:c>
      <x:c r="B15" s="92" t="str">
        <x:v>Every coefficient should eventually carry owner stage, baseline, transform family, allowed drivers, min, max, step/resolution, and rationale.</x:v>
      </x:c>
      <x:c r="C15" s="92" t="str"/>
      <x:c r="D15" s="93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31.7100067138672" hidden="0" customWidth="1"/>
    <x:col min="2" max="2" width="38.709999084472656" hidden="0" customWidth="1"/>
    <x:col min="3" max="3" width="14.710000038146973" hidden="0" customWidth="1"/>
    <x:col min="4" max="4" width="18.43000030517578" hidden="0" customWidth="1"/>
    <x:col min="5" max="5" width="28.139999389648438" hidden="0" customWidth="1"/>
    <x:col min="6" max="6" width="22.56999969482422" hidden="0" customWidth="1"/>
    <x:col min="7" max="7" width="23" hidden="0" customWidth="1"/>
    <x:col min="8" max="8" width="91.86000061035156" hidden="0" customWidth="1"/>
    <x:col min="9" max="9" width="35" hidden="0" customWidth="1"/>
  </x:cols>
  <x:sheetData>
    <x:row r="1" ht="17.08984375" hidden="0" customHeight="1">
      <x:c r="A1" s="75" t="str">
        <x:v>Temporal Step1 Threshold Draft Bands</x:v>
      </x:c>
      <x:c r="B1" s="75"/>
      <x:c r="C1" s="75"/>
      <x:c r="D1" s="75"/>
      <x:c r="E1" s="75"/>
      <x:c r="F1" s="75"/>
      <x:c r="G1" s="75"/>
      <x:c r="H1" s="75"/>
      <x:c r="I1" s="75"/>
    </x:row>
    <x:row r="2" ht="17.08984375" hidden="0" customHeight="1">
      <x:c r="A2" s="78" t="str">
        <x:v>Starter research bands only. These are not approved live values; they are deliberate starting corridors for historical testing.</x:v>
      </x:c>
      <x:c r="B2" s="78"/>
      <x:c r="C2" s="78"/>
      <x:c r="D2" s="78"/>
      <x:c r="E2" s="78"/>
      <x:c r="F2" s="78"/>
      <x:c r="G2" s="78"/>
      <x:c r="H2" s="78"/>
      <x:c r="I2" s="78"/>
    </x:row>
    <x:row r="3" ht="17.08984375" hidden="0" customHeight="1">
      <x:c r="A3"/>
      <x:c r="B3"/>
      <x:c r="C3"/>
      <x:c r="D3"/>
      <x:c r="E3"/>
      <x:c r="F3"/>
      <x:c r="G3"/>
      <x:c r="H3"/>
      <x:c r="I3"/>
    </x:row>
    <x:row r="4" ht="17.08984375" hidden="0" customHeight="1">
      <x:c r="A4" s="84" t="str">
        <x:v>Source</x:v>
      </x:c>
      <x:c r="B4" s="85" t="str">
        <x:v>Threshold ID</x:v>
      </x:c>
      <x:c r="C4" s="85" t="str">
        <x:v>Current Value</x:v>
      </x:c>
      <x:c r="D4" s="85" t="str">
        <x:v>Owner Stage</x:v>
      </x:c>
      <x:c r="E4" s="85" t="str">
        <x:v>Band Type</x:v>
      </x:c>
      <x:c r="F4" s="85" t="str">
        <x:v>Starter Research Min</x:v>
      </x:c>
      <x:c r="G4" s="85" t="str">
        <x:v>Starter Research Max</x:v>
      </x:c>
      <x:c r="H4" s="85" t="str">
        <x:v>Rationale</x:v>
      </x:c>
      <x:c r="I4" s="86" t="str">
        <x:v>Current Source of Truth</x:v>
      </x:c>
    </x:row>
    <x:row r="5" ht="17.08984375" hidden="0" customHeight="1">
      <x:c r="A5" s="89" t="str">
        <x:v>Temporal_Step1_Framework</x:v>
      </x:c>
      <x:c r="B5" s="88" t="str">
        <x:v>open_disorder_relvol_min</x:v>
      </x:c>
      <x:c r="C5" s="88" t="n">
        <x:v>1.4</x:v>
      </x:c>
      <x:c r="D5" s="88" t="str">
        <x:v>Temporal / Step1</x:v>
      </x:c>
      <x:c r="E5" s="88" t="str">
        <x:v>starter_test_band</x:v>
      </x:c>
      <x:c r="F5" s="88" t="n">
        <x:v>1.1</x:v>
      </x:c>
      <x:c r="G5" s="88" t="n">
        <x:v>2</x:v>
      </x:c>
      <x:c r="H5" s="88" t="str">
        <x:v>Open disorder should need more than normal activity, but not a fantasy level.</x:v>
      </x:c>
      <x:c r="I5" s="90" t="str">
        <x:v>Temporal_Step1_Framework!H:I</x:v>
      </x:c>
    </x:row>
    <x:row r="6" ht="17.08984375" hidden="0" customHeight="1">
      <x:c r="A6" s="89" t="str">
        <x:v>Temporal_Step1_Framework</x:v>
      </x:c>
      <x:c r="B6" s="88" t="str">
        <x:v>open_disorder_rv5_bps_min</x:v>
      </x:c>
      <x:c r="C6" s="88" t="n">
        <x:v>80</x:v>
      </x:c>
      <x:c r="D6" s="88" t="str">
        <x:v>Temporal / Step1</x:v>
      </x:c>
      <x:c r="E6" s="88" t="str">
        <x:v>starter_test_band</x:v>
      </x:c>
      <x:c r="F6" s="88" t="n">
        <x:v>40</x:v>
      </x:c>
      <x:c r="G6" s="88" t="n">
        <x:v>150</x:v>
      </x:c>
      <x:c r="H6" s="88" t="str">
        <x:v>The open can be noisy; use a wide but plausible realised-vol band for testing.</x:v>
      </x:c>
      <x:c r="I6" s="90" t="str">
        <x:v>Temporal_Step1_Framework!H:I</x:v>
      </x:c>
    </x:row>
    <x:row r="7" ht="17.08984375" hidden="0" customHeight="1">
      <x:c r="A7" s="89" t="str">
        <x:v>Temporal_Step1_Framework</x:v>
      </x:c>
      <x:c r="B7" s="88" t="str">
        <x:v>open_disorder_vwap_dist_bps_min</x:v>
      </x:c>
      <x:c r="C7" s="88" t="n">
        <x:v>60</x:v>
      </x:c>
      <x:c r="D7" s="88" t="str">
        <x:v>Temporal / Step1</x:v>
      </x:c>
      <x:c r="E7" s="88" t="str">
        <x:v>starter_test_band</x:v>
      </x:c>
      <x:c r="F7" s="88" t="n">
        <x:v>25</x:v>
      </x:c>
      <x:c r="G7" s="88" t="n">
        <x:v>120</x:v>
      </x:c>
      <x:c r="H7" s="88" t="str">
        <x:v>Unresolved open should need visible extension away from VWAP, not tiny drift.</x:v>
      </x:c>
      <x:c r="I7" s="90" t="str">
        <x:v>Temporal_Step1_Framework!H:I</x:v>
      </x:c>
    </x:row>
    <x:row r="8" ht="17.08984375" hidden="0" customHeight="1">
      <x:c r="A8" s="89" t="str">
        <x:v>Temporal_Step1_Framework</x:v>
      </x:c>
      <x:c r="B8" s="88" t="str">
        <x:v>anchor_vwap_dist_bps_max</x:v>
      </x:c>
      <x:c r="C8" s="88" t="n">
        <x:v>35</x:v>
      </x:c>
      <x:c r="D8" s="88" t="str">
        <x:v>Temporal / Step1</x:v>
      </x:c>
      <x:c r="E8" s="88" t="str">
        <x:v>starter_test_band</x:v>
      </x:c>
      <x:c r="F8" s="88" t="n">
        <x:v>10</x:v>
      </x:c>
      <x:c r="G8" s="88" t="n">
        <x:v>60</x:v>
      </x:c>
      <x:c r="H8" s="88" t="str">
        <x:v>Anchoring should stay close to fair value, but the tolerance can vary with volatility.</x:v>
      </x:c>
      <x:c r="I8" s="90" t="str">
        <x:v>Temporal_Step1_Framework!H:I</x:v>
      </x:c>
    </x:row>
    <x:row r="9" ht="17.08984375" hidden="0" customHeight="1">
      <x:c r="A9" s="89" t="str">
        <x:v>Temporal_Step1_Framework</x:v>
      </x:c>
      <x:c r="B9" s="88" t="str">
        <x:v>anchor_rv5_bps_max</x:v>
      </x:c>
      <x:c r="C9" s="88" t="n">
        <x:v>60</x:v>
      </x:c>
      <x:c r="D9" s="88" t="str">
        <x:v>Temporal / Step1</x:v>
      </x:c>
      <x:c r="E9" s="88" t="str">
        <x:v>starter_test_band</x:v>
      </x:c>
      <x:c r="F9" s="88" t="n">
        <x:v>25</x:v>
      </x:c>
      <x:c r="G9" s="88" t="n">
        <x:v>90</x:v>
      </x:c>
      <x:c r="H9" s="88" t="str">
        <x:v>Anchoring should avoid disorder, but the cap should flex with actual tape speed.</x:v>
      </x:c>
      <x:c r="I9" s="90" t="str">
        <x:v>Temporal_Step1_Framework!H:I</x:v>
      </x:c>
    </x:row>
    <x:row r="10" ht="17.08984375" hidden="0" customHeight="1">
      <x:c r="A10" s="89" t="str">
        <x:v>Temporal_Step1_Framework</x:v>
      </x:c>
      <x:c r="B10" s="88" t="str">
        <x:v>anchor_relvol_min</x:v>
      </x:c>
      <x:c r="C10" s="88" t="n">
        <x:v>0.9</x:v>
      </x:c>
      <x:c r="D10" s="88" t="str">
        <x:v>Temporal / Step1</x:v>
      </x:c>
      <x:c r="E10" s="88" t="str">
        <x:v>starter_test_band</x:v>
      </x:c>
      <x:c r="F10" s="88" t="n">
        <x:v>0.6</x:v>
      </x:c>
      <x:c r="G10" s="88" t="n">
        <x:v>1.2</x:v>
      </x:c>
      <x:c r="H10" s="88" t="str">
        <x:v>Anchoring should not require an overactive tape; a modest minimum is enough.</x:v>
      </x:c>
      <x:c r="I10" s="90" t="str">
        <x:v>Temporal_Step1_Framework!H:I</x:v>
      </x:c>
    </x:row>
    <x:row r="11" ht="17.08984375" hidden="0" customHeight="1">
      <x:c r="A11" s="89" t="str">
        <x:v>Temporal_Step1_Framework</x:v>
      </x:c>
      <x:c r="B11" s="88" t="str">
        <x:v>anchor_relvol_max</x:v>
      </x:c>
      <x:c r="C11" s="88" t="n">
        <x:v>1.4</x:v>
      </x:c>
      <x:c r="D11" s="88" t="str">
        <x:v>Temporal / Step1</x:v>
      </x:c>
      <x:c r="E11" s="88" t="str">
        <x:v>starter_test_band</x:v>
      </x:c>
      <x:c r="F11" s="88" t="n">
        <x:v>1.1</x:v>
      </x:c>
      <x:c r="G11" s="88" t="n">
        <x:v>1.8</x:v>
      </x:c>
      <x:c r="H11" s="88" t="str">
        <x:v>Upper band keeps anchoring from absorbing clear disorder regimes.</x:v>
      </x:c>
      <x:c r="I11" s="90" t="str">
        <x:v>Temporal_Step1_Framework!H:I</x:v>
      </x:c>
    </x:row>
    <x:row r="12" ht="17.08984375" hidden="0" customHeight="1">
      <x:c r="A12" s="89" t="str">
        <x:v>Temporal_Step1_Framework</x:v>
      </x:c>
      <x:c r="B12" s="88" t="str">
        <x:v>anchor_impulse_age_min</x:v>
      </x:c>
      <x:c r="C12" s="88" t="n">
        <x:v>5</x:v>
      </x:c>
      <x:c r="D12" s="88" t="str">
        <x:v>Temporal / Step1</x:v>
      </x:c>
      <x:c r="E12" s="88" t="str">
        <x:v>starter_test_band</x:v>
      </x:c>
      <x:c r="F12" s="88" t="n">
        <x:v>2</x:v>
      </x:c>
      <x:c r="G12" s="88" t="n">
        <x:v>10</x:v>
      </x:c>
      <x:c r="H12" s="88" t="str">
        <x:v>Need a little time since the last impulse before calling the tape anchored.</x:v>
      </x:c>
      <x:c r="I12" s="90" t="str">
        <x:v>Temporal_Step1_Framework!H:I</x:v>
      </x:c>
    </x:row>
    <x:row r="13" ht="17.08984375" hidden="0" customHeight="1">
      <x:c r="A13" s="89" t="str">
        <x:v>Temporal_Step1_Framework</x:v>
      </x:c>
      <x:c r="B13" s="88" t="str">
        <x:v>compression_rv5_bps_max</x:v>
      </x:c>
      <x:c r="C13" s="88" t="n">
        <x:v>35</x:v>
      </x:c>
      <x:c r="D13" s="88" t="str">
        <x:v>Temporal / Step1</x:v>
      </x:c>
      <x:c r="E13" s="88" t="str">
        <x:v>starter_test_band</x:v>
      </x:c>
      <x:c r="F13" s="88" t="n">
        <x:v>15</x:v>
      </x:c>
      <x:c r="G13" s="88" t="n">
        <x:v>60</x:v>
      </x:c>
      <x:c r="H13" s="88" t="str">
        <x:v>Compression should mean genuinely quieter tape, but not literally zero motion.</x:v>
      </x:c>
      <x:c r="I13" s="90" t="str">
        <x:v>Temporal_Step1_Framework!H:I</x:v>
      </x:c>
    </x:row>
    <x:row r="14" ht="17.08984375" hidden="0" customHeight="1">
      <x:c r="A14" s="89" t="str">
        <x:v>Temporal_Step1_Framework</x:v>
      </x:c>
      <x:c r="B14" s="88" t="str">
        <x:v>compression_range5_bps_max</x:v>
      </x:c>
      <x:c r="C14" s="88" t="n">
        <x:v>40</x:v>
      </x:c>
      <x:c r="D14" s="88" t="str">
        <x:v>Temporal / Step1</x:v>
      </x:c>
      <x:c r="E14" s="88" t="str">
        <x:v>starter_test_band</x:v>
      </x:c>
      <x:c r="F14" s="88" t="n">
        <x:v>15</x:v>
      </x:c>
      <x:c r="G14" s="88" t="n">
        <x:v>70</x:v>
      </x:c>
      <x:c r="H14" s="88" t="str">
        <x:v>Use a bounded range cap to define compression without demanding perfect flatness.</x:v>
      </x:c>
      <x:c r="I14" s="90" t="str">
        <x:v>Temporal_Step1_Framework!H:I</x:v>
      </x:c>
    </x:row>
    <x:row r="15" ht="17.08984375" hidden="0" customHeight="1">
      <x:c r="A15" s="89" t="str">
        <x:v>Temporal_Step1_Framework</x:v>
      </x:c>
      <x:c r="B15" s="88" t="str">
        <x:v>compression_vwap_dist_bps_max</x:v>
      </x:c>
      <x:c r="C15" s="88" t="n">
        <x:v>25</x:v>
      </x:c>
      <x:c r="D15" s="88" t="str">
        <x:v>Temporal / Step1</x:v>
      </x:c>
      <x:c r="E15" s="88" t="str">
        <x:v>starter_test_band</x:v>
      </x:c>
      <x:c r="F15" s="88" t="n">
        <x:v>10</x:v>
      </x:c>
      <x:c r="G15" s="88" t="n">
        <x:v>45</x:v>
      </x:c>
      <x:c r="H15" s="88" t="str">
        <x:v>Compression near VWAP should stay fairly tight.</x:v>
      </x:c>
      <x:c r="I15" s="90" t="str">
        <x:v>Temporal_Step1_Framework!H:I</x:v>
      </x:c>
    </x:row>
    <x:row r="16" ht="17.08984375" hidden="0" customHeight="1">
      <x:c r="A16" s="89" t="str">
        <x:v>Temporal_Step1_Framework</x:v>
      </x:c>
      <x:c r="B16" s="88" t="str">
        <x:v>compression_relvol_max</x:v>
      </x:c>
      <x:c r="C16" s="88" t="n">
        <x:v>0.9</x:v>
      </x:c>
      <x:c r="D16" s="88" t="str">
        <x:v>Temporal / Step1</x:v>
      </x:c>
      <x:c r="E16" s="88" t="str">
        <x:v>starter_test_band</x:v>
      </x:c>
      <x:c r="F16" s="88" t="n">
        <x:v>0.6</x:v>
      </x:c>
      <x:c r="G16" s="88" t="n">
        <x:v>1.1</x:v>
      </x:c>
      <x:c r="H16" s="88" t="str">
        <x:v>Compression should sit below normal participation, not require dead tape.</x:v>
      </x:c>
      <x:c r="I16" s="90" t="str">
        <x:v>Temporal_Step1_Framework!H:I</x:v>
      </x:c>
    </x:row>
    <x:row r="17" ht="17.08984375" hidden="0" customHeight="1">
      <x:c r="A17" s="89" t="str">
        <x:v>Temporal_Step1_Framework</x:v>
      </x:c>
      <x:c r="B17" s="88" t="str">
        <x:v>trend_vwap_slope_bps_min</x:v>
      </x:c>
      <x:c r="C17" s="88" t="n">
        <x:v>15</x:v>
      </x:c>
      <x:c r="D17" s="88" t="str">
        <x:v>Temporal / Step1</x:v>
      </x:c>
      <x:c r="E17" s="88" t="str">
        <x:v>starter_test_band</x:v>
      </x:c>
      <x:c r="F17" s="88" t="n">
        <x:v>5</x:v>
      </x:c>
      <x:c r="G17" s="88" t="n">
        <x:v>30</x:v>
      </x:c>
      <x:c r="H17" s="88" t="str">
        <x:v>Trend persistence needs a visible slope, but the exact slope should be tested.</x:v>
      </x:c>
      <x:c r="I17" s="90" t="str">
        <x:v>Temporal_Step1_Framework!H:I</x:v>
      </x:c>
    </x:row>
    <x:row r="18" ht="17.08984375" hidden="0" customHeight="1">
      <x:c r="A18" s="89" t="str">
        <x:v>Temporal_Step1_Framework</x:v>
      </x:c>
      <x:c r="B18" s="88" t="str">
        <x:v>trend_vwap_dist_bps_min</x:v>
      </x:c>
      <x:c r="C18" s="88" t="n">
        <x:v>30</x:v>
      </x:c>
      <x:c r="D18" s="88" t="str">
        <x:v>Temporal / Step1</x:v>
      </x:c>
      <x:c r="E18" s="88" t="str">
        <x:v>starter_test_band</x:v>
      </x:c>
      <x:c r="F18" s="88" t="n">
        <x:v>10</x:v>
      </x:c>
      <x:c r="G18" s="88" t="n">
        <x:v>60</x:v>
      </x:c>
      <x:c r="H18" s="88" t="str">
        <x:v>Trend state should need meaningful distance from anchor, not random noise.</x:v>
      </x:c>
      <x:c r="I18" s="90" t="str">
        <x:v>Temporal_Step1_Framework!H:I</x:v>
      </x:c>
    </x:row>
    <x:row r="19" ht="17.08984375" hidden="0" customHeight="1">
      <x:c r="A19" s="89" t="str">
        <x:v>Temporal_Step1_Framework</x:v>
      </x:c>
      <x:c r="B19" s="88" t="str">
        <x:v>trend_relvol_min</x:v>
      </x:c>
      <x:c r="C19" s="88" t="n">
        <x:v>1.05</x:v>
      </x:c>
      <x:c r="D19" s="88" t="str">
        <x:v>Temporal / Step1</x:v>
      </x:c>
      <x:c r="E19" s="88" t="str">
        <x:v>starter_test_band</x:v>
      </x:c>
      <x:c r="F19" s="88" t="n">
        <x:v>0.9</x:v>
      </x:c>
      <x:c r="G19" s="88" t="n">
        <x:v>1.5</x:v>
      </x:c>
      <x:c r="H19" s="88" t="str">
        <x:v>Trend persistence usually wants at least normal participation, sometimes more.</x:v>
      </x:c>
      <x:c r="I19" s="90" t="str">
        <x:v>Temporal_Step1_Framework!H:I</x:v>
      </x:c>
    </x:row>
    <x:row r="20" ht="17.08984375" hidden="0" customHeight="1">
      <x:c r="A20" s="89" t="str">
        <x:v>Temporal_Step1_Framework</x:v>
      </x:c>
      <x:c r="B20" s="88" t="str">
        <x:v>trend_impulse_age_max</x:v>
      </x:c>
      <x:c r="C20" s="88" t="n">
        <x:v>5</x:v>
      </x:c>
      <x:c r="D20" s="88" t="str">
        <x:v>Temporal / Step1</x:v>
      </x:c>
      <x:c r="E20" s="88" t="str">
        <x:v>starter_test_band</x:v>
      </x:c>
      <x:c r="F20" s="88" t="n">
        <x:v>2</x:v>
      </x:c>
      <x:c r="G20" s="88" t="n">
        <x:v>10</x:v>
      </x:c>
      <x:c r="H20" s="88" t="str">
        <x:v>Recent impulse should still be fresh if the trend is to count as active.</x:v>
      </x:c>
      <x:c r="I20" s="90" t="str">
        <x:v>Temporal_Step1_Framework!H:I</x:v>
      </x:c>
    </x:row>
    <x:row r="21" ht="17.08984375" hidden="0" customHeight="1">
      <x:c r="A21" s="89" t="str">
        <x:v>Temporal_Step1_Framework</x:v>
      </x:c>
      <x:c r="B21" s="88" t="str">
        <x:v>power_hour_window_min</x:v>
      </x:c>
      <x:c r="C21" s="88" t="n">
        <x:v>60</x:v>
      </x:c>
      <x:c r="D21" s="88" t="str">
        <x:v>Temporal / Step1</x:v>
      </x:c>
      <x:c r="E21" s="88" t="str">
        <x:v>clock_window_parameter</x:v>
      </x:c>
      <x:c r="F21" s="88" t="n">
        <x:v>45</x:v>
      </x:c>
      <x:c r="G21" s="88" t="n">
        <x:v>90</x:v>
      </x:c>
      <x:c r="H21" s="88" t="str">
        <x:v>Window should stay a practical clock envelope rather than a fuzzy phase label.</x:v>
      </x:c>
      <x:c r="I21" s="90" t="str">
        <x:v>Temporal_Step1_Framework!H:I</x:v>
      </x:c>
    </x:row>
    <x:row r="22" ht="17.08984375" hidden="0" customHeight="1">
      <x:c r="A22" s="91" t="str">
        <x:v>Temporal_Step1_Framework</x:v>
      </x:c>
      <x:c r="B22" s="92" t="str">
        <x:v>unwind_window_min</x:v>
      </x:c>
      <x:c r="C22" s="92" t="n">
        <x:v>30</x:v>
      </x:c>
      <x:c r="D22" s="92" t="str">
        <x:v>Temporal / Step1</x:v>
      </x:c>
      <x:c r="E22" s="92" t="str">
        <x:v>clock_window_parameter</x:v>
      </x:c>
      <x:c r="F22" s="92" t="n">
        <x:v>15</x:v>
      </x:c>
      <x:c r="G22" s="92" t="n">
        <x:v>45</x:v>
      </x:c>
      <x:c r="H22" s="92" t="str">
        <x:v>Dealer-unwind close window should be bounded tightly around the actual close.</x:v>
      </x:c>
      <x:c r="I22" s="93" t="str">
        <x:v>Temporal_Step1_Framework!H:I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5.56999969482422" hidden="0" customWidth="1"/>
    <x:col min="2" max="2" width="143" hidden="0" customWidth="1"/>
    <x:col min="3" max="3" width="129.2899932861328" hidden="0" customWidth="1"/>
    <x:col min="4" max="4" width="0.05000000074505806" hidden="0" customWidth="1"/>
  </x:cols>
  <x:sheetData>
    <x:row r="1">
      <x:c r="A1" s="102" t="str">
        <x:v>Signal Coefficient Integration Handoff</x:v>
      </x:c>
      <x:c r="B1" s="102" t="str"/>
      <x:c r="C1" s="102" t="str"/>
      <x:c r="D1" s="102" t="str"/>
    </x:row>
    <x:row r="2">
      <x:c r="A2" s="103" t="str">
        <x:v>Purpose</x:v>
      </x:c>
      <x:c r="B2" s="103" t="str">
        <x:v>Bridge the workbook bounds work into the next tranche of repo implementation. This sheet is a navigation and handoff surface only.</x:v>
      </x:c>
      <x:c r="C2" s="103" t="str"/>
      <x:c r="D2" s="103" t="str"/>
    </x:row>
    <x:row r="3">
      <x:c r="A3" s="103" t="str">
        <x:v>What this workbook now contains</x:v>
      </x:c>
      <x:c r="B3" s="103" t="str"/>
      <x:c r="C3" s="103" t="str"/>
      <x:c r="D3" s="103" t="str"/>
    </x:row>
    <x:row r="4">
      <x:c r="A4" s="87" t="str">
        <x:v>1</x:v>
      </x:c>
      <x:c r="B4" s="87" t="str">
        <x:v>Repo_Python_Inventory</x:v>
      </x:c>
      <x:c r="C4" s="87" t="str">
        <x:v>Repo-wide Python script inventory mapped into the operating tree / cognition stages / support layers.</x:v>
      </x:c>
      <x:c r="D4" s="87" t="str"/>
    </x:row>
    <x:row r="5">
      <x:c r="A5" s="87" t="str">
        <x:v>2</x:v>
      </x:c>
      <x:c r="B5" s="87" t="str">
        <x:v>Runtime_Surface_Drivers</x:v>
      </x:c>
      <x:c r="C5" s="87" t="str">
        <x:v>Current repo-native mutable runtime surfaces, actual drivers found in code, and hard floors/caps where already coded.</x:v>
      </x:c>
      <x:c r="D5" s="87" t="str"/>
    </x:row>
    <x:row r="6">
      <x:c r="A6" s="87" t="str">
        <x:v>3</x:v>
      </x:c>
      <x:c r="B6" s="87" t="str">
        <x:v>Coeff_Universe_Index</x:v>
      </x:c>
      <x:c r="C6" s="87" t="str">
        <x:v>Combined candidate coefficient universe across runtime surfaces, workbook temporal surfaces, and config examples.</x:v>
      </x:c>
      <x:c r="D6" s="87" t="str"/>
    </x:row>
    <x:row r="7">
      <x:c r="A7" s="87" t="str">
        <x:v>4</x:v>
      </x:c>
      <x:c r="B7" s="87" t="str">
        <x:v>Bounds_Method</x:v>
      </x:c>
      <x:c r="C7" s="87" t="str">
        <x:v>Method for classifying coefficients, transform types, and setting lawful search bounds.</x:v>
      </x:c>
      <x:c r="D7" s="87" t="str"/>
    </x:row>
    <x:row r="8">
      <x:c r="A8" s="87" t="str">
        <x:v>5</x:v>
      </x:c>
      <x:c r="B8" s="87" t="str">
        <x:v>Temporal_Bounds_Draft</x:v>
      </x:c>
      <x:c r="C8" s="87" t="str">
        <x:v>Starter draft for temporal/phase threshold bands; not final truth.</x:v>
      </x:c>
      <x:c r="D8" s="87" t="str"/>
    </x:row>
    <x:row r="9">
      <x:c r="A9" s="103" t="str">
        <x:v>Implementation intent</x:v>
      </x:c>
      <x:c r="B9" s="103" t="str"/>
      <x:c r="C9" s="103" t="str"/>
      <x:c r="D9" s="103" t="str"/>
    </x:row>
    <x:row r="10">
      <x:c r="A10" s="87" t="str">
        <x:v>A</x:v>
      </x:c>
      <x:c r="B10" s="87" t="str">
        <x:v>Do not jump straight into runtime mutation.</x:v>
      </x:c>
      <x:c r="C10" s="87" t="str">
        <x:v>Create the next tranche of gates and leaves first.</x:v>
      </x:c>
      <x:c r="D10" s="87" t="str"/>
    </x:row>
    <x:row r="11">
      <x:c r="A11" s="87" t="str">
        <x:v>B</x:v>
      </x:c>
      <x:c r="B11" s="87" t="str">
        <x:v>Preserve the repo doctrine.</x:v>
      </x:c>
      <x:c r="C11" s="87" t="str">
        <x:v>Stable cognition grammar; bounded variable posture; review does not imply change; runtime never invents coefficients.</x:v>
      </x:c>
      <x:c r="D11" s="87" t="str"/>
    </x:row>
    <x:row r="12">
      <x:c r="A12" s="87" t="str">
        <x:v>C</x:v>
      </x:c>
      <x:c r="B12" s="87" t="str">
        <x:v>Integrate by ownership.</x:v>
      </x:c>
      <x:c r="C12" s="87" t="str">
        <x:v>Every coefficient must belong to one owning stage/module/surface and one transform family.</x:v>
      </x:c>
      <x:c r="D12" s="87" t="str"/>
    </x:row>
    <x:row r="13">
      <x:c r="A13" s="87" t="str">
        <x:v>D</x:v>
      </x:c>
      <x:c r="B13" s="87" t="str">
        <x:v>Integrate review visibility at the same time.</x:v>
      </x:c>
      <x:c r="C13" s="87" t="str">
        <x:v>Every effective coefficient must be reconstructible in review packets with baseline + modifier lineage.</x:v>
      </x:c>
      <x:c r="D13" s="87" t="str"/>
    </x:row>
    <x:row r="14">
      <x:c r="A14" s="103" t="str">
        <x:v>Coding path</x:v>
      </x:c>
      <x:c r="B14" s="103" t="str"/>
      <x:c r="C14" s="103" t="str"/>
      <x:c r="D14" s="103" t="str"/>
    </x:row>
    <x:row r="15">
      <x:c r="A15" s="87" t="str">
        <x:v>1</x:v>
      </x:c>
      <x:c r="B15" s="87" t="str">
        <x:v>Freeze coefficient ontology</x:v>
      </x:c>
      <x:c r="C15" s="87" t="str">
        <x:v>registry fields, transform families, mutable vs prohibited surfaces, stage ownership.</x:v>
      </x:c>
      <x:c r="D15" s="87" t="str"/>
    </x:row>
    <x:row r="16">
      <x:c r="A16" s="87" t="str">
        <x:v>2</x:v>
      </x:c>
      <x:c r="B16" s="87" t="str">
        <x:v>Add registry-loading layer</x:v>
      </x:c>
      <x:c r="C16" s="87" t="str">
        <x:v>typed loader/validator that turns workbook-derived registry into repo-native contracts.</x:v>
      </x:c>
      <x:c r="D16" s="87" t="str"/>
    </x:row>
    <x:row r="17">
      <x:c r="A17" s="87" t="str">
        <x:v>3</x:v>
      </x:c>
      <x:c r="B17" s="87" t="str">
        <x:v>Bind baseline coefficients</x:v>
      </x:c>
      <x:c r="C17" s="87" t="str">
        <x:v>baseline values live outside runtime logic and are read, never mutated in place.</x:v>
      </x:c>
      <x:c r="D17" s="87" t="str"/>
    </x:row>
    <x:row r="18">
      <x:c r="A18" s="87" t="str">
        <x:v>4</x:v>
      </x:c>
      <x:c r="B18" s="87" t="str">
        <x:v>Bind modifier policies</x:v>
      </x:c>
      <x:c r="C18" s="87" t="str">
        <x:v>upstream state drives bounded transforms only on approved mutable surfaces.</x:v>
      </x:c>
      <x:c r="D18" s="87" t="str"/>
    </x:row>
    <x:row r="19">
      <x:c r="A19" s="87" t="str">
        <x:v>5</x:v>
      </x:c>
      <x:c r="B19" s="87" t="str">
        <x:v>Emit effective coefficient lineage</x:v>
      </x:c>
      <x:c r="C19" s="87" t="str">
        <x:v>review/replay/promotion surfaces must show how a runtime value was formed.</x:v>
      </x:c>
      <x:c r="D19" s="87" t="str"/>
    </x:row>
    <x:row r="20">
      <x:c r="A20" s="87" t="str">
        <x:v>6</x:v>
      </x:c>
      <x:c r="B20" s="87" t="str">
        <x:v>Test by evidence, not vibes</x:v>
      </x:c>
      <x:c r="C20" s="87" t="str">
        <x:v>unit tests, replay tests, scorecard/corridor tests, and no-change review outcomes.</x:v>
      </x:c>
      <x:c r="D20" s="87" t="str"/>
    </x:row>
    <x:row r="21">
      <x:c r="A21" s="103" t="str">
        <x:v>Notes</x:v>
      </x:c>
      <x:c r="B21" s="103" t="str"/>
      <x:c r="C21" s="103" t="str"/>
      <x:c r="D21" s="103" t="str"/>
    </x:row>
    <x:row r="22">
      <x:c r="A22" s="87" t="str">
        <x:v>This sheet is not the implementation plan.</x:v>
      </x:c>
      <x:c r="B22" s="87" t="str">
        <x:v>Use the markdown brief and how-to bundle alongside this workbook.</x:v>
      </x:c>
      <x:c r="C22" s="87" t="str"/>
      <x:c r="D22" s="87" t="str"/>
    </x:row>
  </x:sheetData>
  <x:mergeCells>
    <x:mergeCell ref="A1:D1"/>
  </x:mergeCells>
  <x:pageMargins left="0.7" right="0.7" top="0.75" bottom="0.75" header="0.3" footer="0.3"/>
</x:worksheet>
</file>